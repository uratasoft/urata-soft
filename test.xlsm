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3500" windowHeight="7290" firstSheet="2" activeTab="4"/>
  </bookViews>
  <sheets>
    <sheet name="取扱い説明" sheetId="6" r:id="rId1"/>
    <sheet name="字別人口・世帯" sheetId="1" r:id="rId2"/>
    <sheet name="字別・年齢別人口" sheetId="3" r:id="rId3"/>
    <sheet name="投票別選挙人数" sheetId="2" r:id="rId4"/>
    <sheet name="分析結果" sheetId="5" r:id="rId5"/>
  </sheets>
  <externalReferences>
    <externalReference r:id="rId6"/>
  </externalReferences>
  <calcPr calcId="144525"/>
</workbook>
</file>

<file path=xl/sharedStrings.xml><?xml version="1.0" encoding="utf-8"?>
<sst xmlns="http://schemas.openxmlformats.org/spreadsheetml/2006/main" count="323">
  <si>
    <t>１．概要</t>
  </si>
  <si>
    <t>このエクセルマクロは統計データを収集、シート別に展開したものをある条件で突合させ分析しやすくするものです。</t>
  </si>
  <si>
    <t>（これは手始めにこの様な事が可能ですというサンプルとしてご覧下さい。他に様座な分析や未来予測（回帰分析のグラフ）等も可能です）</t>
  </si>
  <si>
    <t>２．表の説明</t>
  </si>
  <si>
    <t>本ブックの青いシートの各表は流山市役所の統計データを以下のURLからダウンロードして貼り合わせたものです。</t>
  </si>
  <si>
    <t>http://www.city.nagareyama.chiba.jp/information/1008422/1008423/1008461.html</t>
  </si>
  <si>
    <t>例えば、h29nagareyamashitokeisyoo.xls　というファイルをダウンロードしてそのエクセルファイルの中から</t>
  </si>
  <si>
    <r>
      <rPr>
        <b/>
        <sz val="10"/>
        <color rgb="FF000000"/>
        <rFont val="ＭＳ Ｐゴシック"/>
        <charset val="134"/>
      </rPr>
      <t>「２－４　字別人口と世帯（住民基本台帳）」、「２－６　字別・年齢５歳階級別」、「１７－１　選挙人名簿登録者数（投票所別）」</t>
    </r>
    <r>
      <rPr>
        <sz val="10"/>
        <color rgb="FF000000"/>
        <rFont val="ＭＳ Ｐゴシック"/>
        <charset val="134"/>
      </rPr>
      <t>といった</t>
    </r>
  </si>
  <si>
    <t>シートの項目から字別に人口、5歳～１４歳までの人口、近く（と思われる）の投票所を突合して分析結果に出力するというものです。</t>
  </si>
  <si>
    <t>これにより喜ばれそうな子供食堂の出店計画等（選挙活動と（笑））見えてくる可能です。</t>
  </si>
  <si>
    <t>３．分析の仕方</t>
  </si>
  <si>
    <t>右端の「分析結果」というシートを開けると「分析」ボタンがありますので押下すると以下の様に出力されます。</t>
  </si>
  <si>
    <t>以下は分析事項、大まかな分析結果のサンプルです。</t>
  </si>
  <si>
    <t>こう分析する事により喜ばれそうな子供食堂の出店計画や効率的な選挙活動拠点も見えてくる可能があります。</t>
  </si>
  <si>
    <t>字　　名</t>
  </si>
  <si>
    <t>世帯数</t>
  </si>
  <si>
    <t>男</t>
  </si>
  <si>
    <t>女</t>
  </si>
  <si>
    <t>総数</t>
  </si>
  <si>
    <t>世帯人員</t>
  </si>
  <si>
    <t>5～9歳</t>
  </si>
  <si>
    <t>10～14歳</t>
  </si>
  <si>
    <t>投票所</t>
  </si>
  <si>
    <t>東深井</t>
  </si>
  <si>
    <t>？</t>
  </si>
  <si>
    <t>東深井福祉会館</t>
  </si>
  <si>
    <t>鰭ケ崎</t>
  </si>
  <si>
    <t>鰭ケ崎団地自治会館</t>
  </si>
  <si>
    <t>駒木</t>
  </si>
  <si>
    <t>十太夫</t>
  </si>
  <si>
    <t>市野谷</t>
  </si>
  <si>
    <t>西平井</t>
  </si>
  <si>
    <t>西平井自治会館</t>
  </si>
  <si>
    <t>前ケ崎</t>
  </si>
  <si>
    <t>前ケ崎みどり自治会館</t>
  </si>
  <si>
    <t>東初石３丁目</t>
  </si>
  <si>
    <t>東初石１丁目自治会館</t>
  </si>
  <si>
    <t>向小金３丁目</t>
  </si>
  <si>
    <t>向小金田島自治会館</t>
  </si>
  <si>
    <t>南流山６丁目</t>
  </si>
  <si>
    <t>南流山自治会館</t>
  </si>
  <si>
    <t>西初石４丁目</t>
  </si>
  <si>
    <t>西初石１・２丁目自治会館</t>
  </si>
  <si>
    <t>南流山２丁目</t>
  </si>
  <si>
    <t>西初石２丁目</t>
  </si>
  <si>
    <t>西深井</t>
  </si>
  <si>
    <t>西深井福祉会館</t>
  </si>
  <si>
    <t>向小金２丁目</t>
  </si>
  <si>
    <t>木</t>
  </si>
  <si>
    <t>４．プログラム</t>
  </si>
  <si>
    <t>以下は本エクセルファイルのVBAで開発したマクロプログラムです。</t>
  </si>
  <si>
    <t>########################################################################################</t>
  </si>
  <si>
    <t xml:space="preserve"> Program Name     :　AnaNagareyama.xlms</t>
  </si>
  <si>
    <t xml:space="preserve"> Proposition   　 :　本VBAスクリプトは政府の統計データを分析し最適解を導出する</t>
  </si>
  <si>
    <t xml:space="preserve"> Purpose          :  流山における効率的な子供食堂の出店、効率的選挙活動場所を模索</t>
  </si>
  <si>
    <t xml:space="preserve"> Authour          :  浦田哲夫</t>
  </si>
  <si>
    <t xml:space="preserve"> Development Date :  2018/10/30</t>
  </si>
  <si>
    <t>Option Explicit</t>
  </si>
  <si>
    <t>Dim conSor As Integer</t>
  </si>
  <si>
    <t>Dim conSer As Integer</t>
  </si>
  <si>
    <t>Dim conTohyo As Integer</t>
  </si>
  <si>
    <t>Dim indCol As Integer</t>
  </si>
  <si>
    <t>Dim indSor As Integer</t>
  </si>
  <si>
    <t>Dim indSer As Integer</t>
  </si>
  <si>
    <t>Dim indTohyo As Integer</t>
  </si>
  <si>
    <t>Dim azaName As String</t>
  </si>
  <si>
    <t>Dim chkName As String</t>
  </si>
  <si>
    <t>Dim tohyojyo As String</t>
  </si>
  <si>
    <t>Dim machiName As String</t>
  </si>
  <si>
    <t>Dim font As font</t>
  </si>
  <si>
    <t>Dim bord As Borders</t>
  </si>
  <si>
    <t>Const title1 As String = "5～9歳"</t>
  </si>
  <si>
    <t>Const title2 As String = "10～14歳"</t>
  </si>
  <si>
    <t>Const title3 As String = "投票所"</t>
  </si>
  <si>
    <t>Const sorSheet As String = "字別人口・世帯"</t>
  </si>
  <si>
    <t>Const serSheet As String = "字別・年齢別人口"</t>
  </si>
  <si>
    <t>Const toSheet As String = "投票別選挙人数"</t>
  </si>
  <si>
    <t>Const aza As String = "大字"</t>
  </si>
  <si>
    <t>Const chome As String = "丁目"</t>
  </si>
  <si>
    <t>Const desSheet As String = "分析結果"</t>
  </si>
  <si>
    <t>Const fontName  As String = "ＭＳ Ｐ明朝"</t>
  </si>
  <si>
    <t>Const fontSize  As Integer = 10</t>
  </si>
  <si>
    <t xml:space="preserve">    </t>
  </si>
  <si>
    <t>Sub getInfo()</t>
  </si>
  <si>
    <t xml:space="preserve">    ' 最初に統計シートに字別人口のデータをコピーする</t>
  </si>
  <si>
    <t xml:space="preserve">    Sheets(sorSheet).Range("A1", "F122").Offset(0, 0).Copy Destination:=Sheets(desSheet).Range("A1").Offset(5, 0)</t>
  </si>
  <si>
    <t xml:space="preserve">    ' 各シートの行数をカウント</t>
  </si>
  <si>
    <t xml:space="preserve">    conSor = Sheets(sorSheet).Range("A1").End(xlDown).Row</t>
  </si>
  <si>
    <t xml:space="preserve">    conSer = Sheets(serSheet).Range("A1").End(xlDown).Row</t>
  </si>
  <si>
    <t xml:space="preserve">    conTohyo = Sheets(toSheet).Range("A1").End(xlDown).Row</t>
  </si>
  <si>
    <t xml:space="preserve">    ' タイトル設定</t>
  </si>
  <si>
    <t xml:space="preserve">    Sheets(desSheet).Range("A1").Offset(5, 6) = title1</t>
  </si>
  <si>
    <t xml:space="preserve">    Sheets(desSheet).Range("A1").Offset(5, 7) = title2</t>
  </si>
  <si>
    <t xml:space="preserve">    Sheets(desSheet).Range("A1").Offset(5, 8) = title3</t>
  </si>
  <si>
    <t xml:space="preserve">    ' フォント設定</t>
  </si>
  <si>
    <t xml:space="preserve">    Set font = Sheets(desSheet).Range("A1").Offset(5, 6).font</t>
  </si>
  <si>
    <t xml:space="preserve">    Set font = Sheets(desSheet).Range("A1").Offset(5, 7).font</t>
  </si>
  <si>
    <t xml:space="preserve">    Set font = Sheets(desSheet).Range("A1").Offset(5, 8).font</t>
  </si>
  <si>
    <t xml:space="preserve">    ' 色設定</t>
  </si>
  <si>
    <t xml:space="preserve">    For indCol = 6 To 8</t>
  </si>
  <si>
    <t xml:space="preserve">        Sheets(desSheet).Range("A1").Offset(5, indCol).Interior.Color = RGB(218, 238, 243)</t>
  </si>
  <si>
    <t xml:space="preserve">    Next indCol</t>
  </si>
  <si>
    <t xml:space="preserve">    ' タイトルセンター設定</t>
  </si>
  <si>
    <t xml:space="preserve">    Sheets(desSheet).Range("G6", "I6").HorizontalAlignment = xlCenter</t>
  </si>
  <si>
    <t xml:space="preserve">        </t>
  </si>
  <si>
    <t xml:space="preserve">    For indSor = 5 To conSor</t>
  </si>
  <si>
    <t xml:space="preserve">    ' 字名を抽出</t>
  </si>
  <si>
    <t xml:space="preserve">        azaName = CStr(Sheets(desSheet).Range("A1").Offset(indSor, 0))</t>
  </si>
  <si>
    <t xml:space="preserve">    ' 字名から大字の文字を取り除く</t>
  </si>
  <si>
    <t xml:space="preserve">        azaName = Replace(azaName, aza, "")</t>
  </si>
  <si>
    <t xml:space="preserve">        Sheets(desSheet).Range("A1").Offset(indSor, 0) = azaName</t>
  </si>
  <si>
    <t xml:space="preserve">    ' 字名から*丁目を取り除く</t>
  </si>
  <si>
    <t xml:space="preserve">        machiName = Replace(azaName, chome, "")</t>
  </si>
  <si>
    <t xml:space="preserve">        machiName = Replace(machiName, Right(machiName, 1), "")</t>
  </si>
  <si>
    <t xml:space="preserve">                </t>
  </si>
  <si>
    <t xml:space="preserve">        For indSer = 1 To conSer</t>
  </si>
  <si>
    <t xml:space="preserve">        ' 地区名を抽出する</t>
  </si>
  <si>
    <t xml:space="preserve">            chkName = CStr(Sheets(serSheet).Range("A1").Offset(indSer, 0))</t>
  </si>
  <si>
    <t xml:space="preserve">        ' 地区名から大字の文字を取り除く</t>
  </si>
  <si>
    <t xml:space="preserve">        chkName = Replace(chkName, aza, "")</t>
  </si>
  <si>
    <t xml:space="preserve">            ' 字名と地区名が一致したら年齢別に人口を出力する</t>
  </si>
  <si>
    <t xml:space="preserve">            If azaName = chkName Then</t>
  </si>
  <si>
    <t xml:space="preserve">                Sheets(serSheet).Range("A1").Offset(indSer, 3).Copy Destination:=Sheets(desSheet).Range("A1").Offset(indSor, 6)</t>
  </si>
  <si>
    <t xml:space="preserve">                Sheets(serSheet).Range("A1").Offset(indSer, 4).Copy Destination:=Sheets(desSheet).Range("A1").Offset(indSor, 7)</t>
  </si>
  <si>
    <t xml:space="preserve">                Exit For</t>
  </si>
  <si>
    <t xml:space="preserve">            End If</t>
  </si>
  <si>
    <t xml:space="preserve">            </t>
  </si>
  <si>
    <t xml:space="preserve">        Next indSer</t>
  </si>
  <si>
    <t xml:space="preserve">        For indTohyo = 5 To conTohyo</t>
  </si>
  <si>
    <t xml:space="preserve">            ' 投票所を抽出する</t>
  </si>
  <si>
    <t xml:space="preserve">            tohyojyo = CStr(Sheets(toSheet).Range("A1").Offset(indTohyo, 0))</t>
  </si>
  <si>
    <t xml:space="preserve">            'Debug.Print tohyojyo</t>
  </si>
  <si>
    <t xml:space="preserve">            ' 字名の含まれる投票所があれば出力する</t>
  </si>
  <si>
    <t xml:space="preserve">            If Len(machiName) &gt; 1 And InStr(tohyojyo, machiName) &lt;&gt; 0 Then</t>
  </si>
  <si>
    <t xml:space="preserve">                Sheets(desSheet).Range("A1").Offset(indSor, 8) = tohyojyo</t>
  </si>
  <si>
    <t xml:space="preserve">                Sheets(desSheet).Range("A1").Offset(indSor, 8).HorizontalAlignment = xlLeft</t>
  </si>
  <si>
    <t xml:space="preserve">                Set font = Sheets(desSheet).Range("A1").Offset(indSor, 8).font</t>
  </si>
  <si>
    <t xml:space="preserve">        Next indTohyo</t>
  </si>
  <si>
    <t xml:space="preserve">        font.Color = RGB(0, 0, 0)</t>
  </si>
  <si>
    <t xml:space="preserve">        font.Name = fontName</t>
  </si>
  <si>
    <t xml:space="preserve">        font.Size = fontSize</t>
  </si>
  <si>
    <t xml:space="preserve">        Sheets(desSheet).Range("I7").HorizontalAlignment = xlLeft</t>
  </si>
  <si>
    <t xml:space="preserve">        Set bord = Range("G6", "I122").Borders</t>
  </si>
  <si>
    <t xml:space="preserve">        bord.LineStyle = xlContinuous</t>
  </si>
  <si>
    <t xml:space="preserve">      </t>
  </si>
  <si>
    <t xml:space="preserve">    Next indSor</t>
  </si>
  <si>
    <t>End Sub</t>
  </si>
  <si>
    <t>Private Sub CommandButton1_Click()</t>
  </si>
  <si>
    <t xml:space="preserve">   Call getInfo</t>
  </si>
  <si>
    <t>Private Sub CommandButton2_Click()</t>
  </si>
  <si>
    <t xml:space="preserve">   Sheets(desSheet).Range("A1", "I127").Clear</t>
  </si>
  <si>
    <t>Private Sub Label1_Click()</t>
  </si>
  <si>
    <t>大字東深井</t>
  </si>
  <si>
    <t>大字鰭ケ崎</t>
  </si>
  <si>
    <t>大字西平井</t>
  </si>
  <si>
    <t>大字西深井</t>
  </si>
  <si>
    <t>大字木</t>
  </si>
  <si>
    <t>野々下３丁目</t>
  </si>
  <si>
    <t>向小金１丁目</t>
  </si>
  <si>
    <t>東初石２丁目</t>
  </si>
  <si>
    <t>南流山７丁目</t>
  </si>
  <si>
    <t>東初石６丁目</t>
  </si>
  <si>
    <t>南流山１丁目</t>
  </si>
  <si>
    <t>駒木台</t>
  </si>
  <si>
    <t>南流山８丁目</t>
  </si>
  <si>
    <t>西初石５丁目</t>
  </si>
  <si>
    <t>松ケ丘５丁目</t>
  </si>
  <si>
    <t>名都借</t>
  </si>
  <si>
    <t>西初石３丁目</t>
  </si>
  <si>
    <t>江戸川台東３丁目</t>
  </si>
  <si>
    <t>こうのす台</t>
  </si>
  <si>
    <t>野々下５丁目</t>
  </si>
  <si>
    <t>南流山３丁目</t>
  </si>
  <si>
    <t>平和台４丁目</t>
  </si>
  <si>
    <t>南流山４丁目</t>
  </si>
  <si>
    <t>加一丁目</t>
  </si>
  <si>
    <t>野々下６丁目</t>
  </si>
  <si>
    <t>加三丁目</t>
  </si>
  <si>
    <t>富士見台２丁目</t>
  </si>
  <si>
    <t>美田</t>
  </si>
  <si>
    <t>西初石６丁目</t>
  </si>
  <si>
    <t>平和台５丁目</t>
  </si>
  <si>
    <t>東初石１丁目</t>
  </si>
  <si>
    <t>東初石４丁目</t>
  </si>
  <si>
    <t>江戸川台東４丁目</t>
  </si>
  <si>
    <t>東初石５丁目</t>
  </si>
  <si>
    <t>松ケ丘２丁目</t>
  </si>
  <si>
    <t>若葉台</t>
  </si>
  <si>
    <t>大字平方</t>
  </si>
  <si>
    <t>南流山５丁目</t>
  </si>
  <si>
    <t>三輪野山二丁目</t>
  </si>
  <si>
    <t>長崎１丁目</t>
  </si>
  <si>
    <t>加四丁目</t>
  </si>
  <si>
    <t>大字中野久木</t>
  </si>
  <si>
    <t>西初石１丁目</t>
  </si>
  <si>
    <t>宮園３丁目</t>
  </si>
  <si>
    <t>野々下４丁目</t>
  </si>
  <si>
    <t>三輪野山一丁目</t>
  </si>
  <si>
    <t>松ケ丘１丁目</t>
  </si>
  <si>
    <t>江戸川台東１丁目</t>
  </si>
  <si>
    <t>美原４丁目</t>
  </si>
  <si>
    <t>平和台２丁目</t>
  </si>
  <si>
    <t>江戸川台西３丁目</t>
  </si>
  <si>
    <t>加二丁目</t>
  </si>
  <si>
    <t>美原１丁目</t>
  </si>
  <si>
    <t>江戸川台西４丁目</t>
  </si>
  <si>
    <t>江戸川台東２丁目</t>
  </si>
  <si>
    <t>前平井</t>
  </si>
  <si>
    <t>江戸川台西２丁目</t>
  </si>
  <si>
    <t>松ケ丘４丁目</t>
  </si>
  <si>
    <t>流山８丁目</t>
  </si>
  <si>
    <t>大字流山</t>
  </si>
  <si>
    <t>宮園２丁目</t>
  </si>
  <si>
    <t>古間木</t>
  </si>
  <si>
    <t>富士見台１丁目</t>
  </si>
  <si>
    <t>青田</t>
  </si>
  <si>
    <t>江戸川台西１丁目</t>
  </si>
  <si>
    <t>加六丁目</t>
  </si>
  <si>
    <t>美原３丁目</t>
  </si>
  <si>
    <t>流山２丁目</t>
  </si>
  <si>
    <t>向小金４丁目</t>
  </si>
  <si>
    <t>松ケ丘３丁目</t>
  </si>
  <si>
    <t>西松ケ丘１丁目</t>
  </si>
  <si>
    <t>三輪野山四丁目</t>
  </si>
  <si>
    <t>後平井</t>
  </si>
  <si>
    <t>三輪野山三丁目</t>
  </si>
  <si>
    <t>平和台１丁目</t>
  </si>
  <si>
    <t>流山４丁目</t>
  </si>
  <si>
    <t>大字北</t>
  </si>
  <si>
    <t>加五丁目</t>
  </si>
  <si>
    <t>松ケ丘６丁目</t>
  </si>
  <si>
    <t>平和台３丁目</t>
  </si>
  <si>
    <t>流山９丁目</t>
  </si>
  <si>
    <t>長崎２丁目</t>
  </si>
  <si>
    <t>宮園１丁目</t>
  </si>
  <si>
    <t>流山１丁目</t>
  </si>
  <si>
    <t>流山７丁目</t>
  </si>
  <si>
    <t>流山６丁目</t>
  </si>
  <si>
    <t>流山５丁目</t>
  </si>
  <si>
    <t>三輪野山五丁目</t>
  </si>
  <si>
    <t>流山３丁目</t>
  </si>
  <si>
    <t>野々下２丁目</t>
  </si>
  <si>
    <t>野々下１丁目</t>
  </si>
  <si>
    <t>美原２丁目</t>
  </si>
  <si>
    <t>大字下花輪</t>
  </si>
  <si>
    <t>大字上新宿</t>
  </si>
  <si>
    <t>大字南</t>
  </si>
  <si>
    <t>大字三輪野山</t>
  </si>
  <si>
    <t>大字大畔</t>
  </si>
  <si>
    <t>富士見台</t>
  </si>
  <si>
    <t>大字小屋</t>
  </si>
  <si>
    <t>思井</t>
  </si>
  <si>
    <t>大字加</t>
  </si>
  <si>
    <t>中</t>
  </si>
  <si>
    <t>芝崎</t>
  </si>
  <si>
    <t>大字上貝塚</t>
  </si>
  <si>
    <t>大字桐ケ谷</t>
  </si>
  <si>
    <t>大字深井新田</t>
  </si>
  <si>
    <t>大字谷</t>
  </si>
  <si>
    <t>大字上新宿新田</t>
  </si>
  <si>
    <t>大字平方村新田</t>
  </si>
  <si>
    <t>地　区</t>
  </si>
  <si>
    <t xml:space="preserve"> 総数</t>
  </si>
  <si>
    <t>　0～4歳</t>
  </si>
  <si>
    <t>　5～9歳</t>
  </si>
  <si>
    <t xml:space="preserve"> 10～14歳</t>
  </si>
  <si>
    <t xml:space="preserve"> 15～19歳</t>
  </si>
  <si>
    <t xml:space="preserve"> 20～24歳</t>
  </si>
  <si>
    <t xml:space="preserve"> 25～29歳</t>
  </si>
  <si>
    <t xml:space="preserve"> 30～34歳</t>
  </si>
  <si>
    <t xml:space="preserve"> 35～39歳</t>
  </si>
  <si>
    <t xml:space="preserve"> 40～44歳</t>
  </si>
  <si>
    <t>投　　票　　所</t>
  </si>
  <si>
    <t>　総　　数</t>
  </si>
  <si>
    <t>対前年増減</t>
  </si>
  <si>
    <t>小山小学校内十太夫児童センター</t>
  </si>
  <si>
    <t>鰭ケ崎小学校プレイルーム</t>
  </si>
  <si>
    <t>向小金小学校体育館</t>
  </si>
  <si>
    <t>初石公民館</t>
  </si>
  <si>
    <t>流山北小学校プレイルーム</t>
  </si>
  <si>
    <t>流山市上下水道局</t>
  </si>
  <si>
    <t>江戸川台小学校体育館</t>
  </si>
  <si>
    <t>流山市役所</t>
  </si>
  <si>
    <t>常盤松中学校第二音楽室</t>
  </si>
  <si>
    <t>南流山中学校武道場</t>
  </si>
  <si>
    <t>駒木青年館</t>
  </si>
  <si>
    <t>三輪会館</t>
  </si>
  <si>
    <t>松ケ丘自治会館</t>
  </si>
  <si>
    <t>長崎小学校特別支援教室</t>
  </si>
  <si>
    <t>東深井小学校体育館</t>
  </si>
  <si>
    <t>ゆたか・四季野自治会館</t>
  </si>
  <si>
    <t>南流山センタ－</t>
  </si>
  <si>
    <t>東深井中学校体育館</t>
  </si>
  <si>
    <t>江戸川台西自治会館</t>
  </si>
  <si>
    <t>東谷自治会館</t>
  </si>
  <si>
    <t>新川小学校プレイルーム</t>
  </si>
  <si>
    <t>おおたかの森小中学校内おおたかの森センター</t>
  </si>
  <si>
    <t>駒木台福祉会館</t>
  </si>
  <si>
    <t>江戸川台小田急ハイツ集会室</t>
  </si>
  <si>
    <t>東部中学校特別支援教室</t>
  </si>
  <si>
    <t>宮園自治会館</t>
  </si>
  <si>
    <t>若葉台自治会館</t>
  </si>
  <si>
    <t>松ケ丘旭会館</t>
  </si>
  <si>
    <t>八木北小学校プレイルーム</t>
  </si>
  <si>
    <t>赤城福祉会館</t>
  </si>
  <si>
    <t>流山小学校閲覧室</t>
  </si>
  <si>
    <t>江戸川台福祉会館</t>
  </si>
  <si>
    <t>東深井駒形神社</t>
  </si>
  <si>
    <t>生涯学習センター</t>
  </si>
  <si>
    <t>八木中学校図書室</t>
  </si>
  <si>
    <t>平方</t>
  </si>
  <si>
    <t>中野久木</t>
  </si>
  <si>
    <t>流山</t>
  </si>
  <si>
    <t>北</t>
  </si>
  <si>
    <t>下花輪</t>
  </si>
  <si>
    <t>上新宿</t>
  </si>
  <si>
    <t>南</t>
  </si>
  <si>
    <t>三輪野山</t>
  </si>
  <si>
    <t>大畔</t>
  </si>
  <si>
    <t>小屋</t>
  </si>
  <si>
    <t>加</t>
  </si>
  <si>
    <t>上貝塚</t>
  </si>
  <si>
    <t>桐ケ谷</t>
  </si>
</sst>
</file>

<file path=xl/styles.xml><?xml version="1.0" encoding="utf-8"?>
<styleSheet xmlns="http://schemas.openxmlformats.org/spreadsheetml/2006/main">
  <numFmts count="6">
    <numFmt numFmtId="176" formatCode="#,##0_);[Red]\(#,##0\)"/>
    <numFmt numFmtId="177" formatCode="_-&quot;\&quot;* #,##0_-\ ;\-&quot;\&quot;* #,##0_-\ ;_-&quot;\&quot;* &quot;-&quot;??_-\ ;_-@_-"/>
    <numFmt numFmtId="178" formatCode="_-&quot;\&quot;* #,##0.00_-\ ;\-&quot;\&quot;* #,##0.00_-\ ;_-&quot;\&quot;* &quot;-&quot;??_-\ ;_-@_-"/>
    <numFmt numFmtId="179" formatCode="_ * #,##0_ ;_ * \-#,##0_ ;_ * &quot;-&quot;??_ ;_ @_ "/>
    <numFmt numFmtId="43" formatCode="_ * #,##0.00_ ;_ * \-#,##0.00_ ;_ * &quot;-&quot;??_ ;_ @_ "/>
    <numFmt numFmtId="180" formatCode="0_ "/>
  </numFmts>
  <fonts count="37">
    <font>
      <sz val="11"/>
      <color indexed="8"/>
      <name val="宋体"/>
      <charset val="134"/>
    </font>
    <font>
      <sz val="10"/>
      <color rgb="FF000000"/>
      <name val="ＭＳ Ｐ明朝"/>
      <charset val="134"/>
    </font>
    <font>
      <sz val="10"/>
      <name val="ＭＳ Ｐ明朝"/>
      <charset val="128"/>
    </font>
    <font>
      <sz val="9"/>
      <name val="ＭＳ Ｐ明朝"/>
      <charset val="128"/>
    </font>
    <font>
      <sz val="10"/>
      <color indexed="8"/>
      <name val="宋体"/>
      <charset val="134"/>
    </font>
    <font>
      <sz val="8"/>
      <name val="ＭＳ Ｐ明朝"/>
      <charset val="128"/>
    </font>
    <font>
      <sz val="10"/>
      <color rgb="FF000000"/>
      <name val="ＭＳ Ｐ明朝"/>
      <charset val="128"/>
    </font>
    <font>
      <sz val="10"/>
      <color indexed="8"/>
      <name val="ＭＳ Ｐゴシック"/>
      <charset val="134"/>
    </font>
    <font>
      <u/>
      <sz val="11"/>
      <color rgb="FF0000FF"/>
      <name val="ＭＳ Ｐゴシック"/>
      <charset val="0"/>
      <scheme val="minor"/>
    </font>
    <font>
      <b/>
      <sz val="10"/>
      <color rgb="FF000000"/>
      <name val="ＭＳ Ｐゴシック"/>
      <charset val="134"/>
    </font>
    <font>
      <sz val="11"/>
      <name val="宋体"/>
      <charset val="134"/>
    </font>
    <font>
      <sz val="10"/>
      <color rgb="FFFF0000"/>
      <name val="ＭＳ Ｐ明朝"/>
      <charset val="128"/>
    </font>
    <font>
      <sz val="9"/>
      <color rgb="FFFF0000"/>
      <name val="ＭＳ Ｐ明朝"/>
      <charset val="128"/>
    </font>
    <font>
      <sz val="11"/>
      <color rgb="FFFF0000"/>
      <name val="宋体"/>
      <charset val="134"/>
    </font>
    <font>
      <sz val="10"/>
      <color rgb="FFFF0000"/>
      <name val="ＭＳ Ｐ明朝"/>
      <charset val="134"/>
    </font>
    <font>
      <sz val="11"/>
      <name val="ＭＳ Ｐゴシック"/>
      <charset val="134"/>
    </font>
    <font>
      <sz val="11"/>
      <color theme="1"/>
      <name val="ＭＳ Ｐゴシック"/>
      <charset val="0"/>
      <scheme val="minor"/>
    </font>
    <font>
      <sz val="11"/>
      <color rgb="FFFF0000"/>
      <name val="ＭＳ Ｐゴシック"/>
      <charset val="0"/>
      <scheme val="minor"/>
    </font>
    <font>
      <sz val="11"/>
      <color theme="1"/>
      <name val="ＭＳ Ｐゴシック"/>
      <charset val="134"/>
      <scheme val="minor"/>
    </font>
    <font>
      <b/>
      <sz val="11"/>
      <color rgb="FF3F3F3F"/>
      <name val="ＭＳ Ｐゴシック"/>
      <charset val="0"/>
      <scheme val="minor"/>
    </font>
    <font>
      <sz val="11"/>
      <color rgb="FF3F3F76"/>
      <name val="ＭＳ Ｐゴシック"/>
      <charset val="0"/>
      <scheme val="minor"/>
    </font>
    <font>
      <sz val="11"/>
      <color theme="0"/>
      <name val="ＭＳ Ｐゴシック"/>
      <charset val="0"/>
      <scheme val="minor"/>
    </font>
    <font>
      <b/>
      <sz val="11"/>
      <color theme="3"/>
      <name val="ＭＳ Ｐゴシック"/>
      <charset val="134"/>
      <scheme val="minor"/>
    </font>
    <font>
      <sz val="11"/>
      <color rgb="FF006100"/>
      <name val="ＭＳ Ｐゴシック"/>
      <charset val="0"/>
      <scheme val="minor"/>
    </font>
    <font>
      <u/>
      <sz val="11"/>
      <color rgb="FF800080"/>
      <name val="ＭＳ Ｐゴシック"/>
      <charset val="0"/>
      <scheme val="minor"/>
    </font>
    <font>
      <b/>
      <sz val="11"/>
      <color rgb="FFFFFFFF"/>
      <name val="ＭＳ Ｐゴシック"/>
      <charset val="0"/>
      <scheme val="minor"/>
    </font>
    <font>
      <sz val="11"/>
      <color rgb="FFFA7D00"/>
      <name val="ＭＳ Ｐゴシック"/>
      <charset val="0"/>
      <scheme val="minor"/>
    </font>
    <font>
      <b/>
      <sz val="15"/>
      <color theme="3"/>
      <name val="ＭＳ Ｐゴシック"/>
      <charset val="134"/>
      <scheme val="minor"/>
    </font>
    <font>
      <b/>
      <sz val="18"/>
      <color theme="3"/>
      <name val="ＭＳ Ｐゴシック"/>
      <charset val="134"/>
      <scheme val="minor"/>
    </font>
    <font>
      <b/>
      <sz val="13"/>
      <color theme="3"/>
      <name val="ＭＳ Ｐゴシック"/>
      <charset val="134"/>
      <scheme val="minor"/>
    </font>
    <font>
      <i/>
      <sz val="11"/>
      <color rgb="FF7F7F7F"/>
      <name val="ＭＳ Ｐゴシック"/>
      <charset val="0"/>
      <scheme val="minor"/>
    </font>
    <font>
      <sz val="11"/>
      <color rgb="FF9C6500"/>
      <name val="ＭＳ Ｐゴシック"/>
      <charset val="0"/>
      <scheme val="minor"/>
    </font>
    <font>
      <b/>
      <sz val="11"/>
      <color theme="1"/>
      <name val="ＭＳ Ｐゴシック"/>
      <charset val="0"/>
      <scheme val="minor"/>
    </font>
    <font>
      <b/>
      <sz val="11"/>
      <color rgb="FFFA7D00"/>
      <name val="ＭＳ Ｐゴシック"/>
      <charset val="0"/>
      <scheme val="minor"/>
    </font>
    <font>
      <sz val="11"/>
      <color rgb="FF9C0006"/>
      <name val="ＭＳ Ｐゴシック"/>
      <charset val="0"/>
      <scheme val="minor"/>
    </font>
    <font>
      <sz val="11"/>
      <name val="ＭＳ Ｐゴシック"/>
      <charset val="128"/>
    </font>
    <font>
      <sz val="10"/>
      <color rgb="FF000000"/>
      <name val="ＭＳ Ｐゴシック"/>
      <charset val="134"/>
    </font>
  </fonts>
  <fills count="36">
    <fill>
      <patternFill patternType="none"/>
    </fill>
    <fill>
      <patternFill patternType="gray125"/>
    </fill>
    <fill>
      <patternFill patternType="solid">
        <fgColor theme="8" tint="0.8"/>
        <bgColor indexed="64"/>
      </patternFill>
    </fill>
    <fill>
      <patternFill patternType="solid">
        <fgColor rgb="FFDAEEF3"/>
        <bgColor indexed="64"/>
      </patternFill>
    </fill>
    <fill>
      <patternFill patternType="solid">
        <fgColor rgb="FFDAEEF3"/>
        <bgColor indexed="64"/>
      </patternFill>
    </fill>
    <fill>
      <patternFill patternType="solid">
        <fgColor theme="5" tint="0.599993896298105"/>
        <bgColor indexed="64"/>
      </patternFill>
    </fill>
    <fill>
      <patternFill patternType="solid">
        <fgColor rgb="FFFFFFCC"/>
        <bgColor indexed="64"/>
      </patternFill>
    </fill>
    <fill>
      <patternFill patternType="solid">
        <fgColor theme="5" tint="0.799981688894314"/>
        <bgColor indexed="64"/>
      </patternFill>
    </fill>
    <fill>
      <patternFill patternType="solid">
        <fgColor rgb="FFF2F2F2"/>
        <bgColor indexed="64"/>
      </patternFill>
    </fill>
    <fill>
      <patternFill patternType="solid">
        <fgColor rgb="FFFFCC99"/>
        <bgColor indexed="64"/>
      </patternFill>
    </fill>
    <fill>
      <patternFill patternType="solid">
        <fgColor theme="6"/>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9"/>
        <bgColor indexed="64"/>
      </patternFill>
    </fill>
    <fill>
      <patternFill patternType="solid">
        <fgColor theme="8" tint="0.599993896298105"/>
        <bgColor indexed="64"/>
      </patternFill>
    </fill>
    <fill>
      <patternFill patternType="solid">
        <fgColor rgb="FFC6EFCE"/>
        <bgColor indexed="64"/>
      </patternFill>
    </fill>
    <fill>
      <patternFill patternType="solid">
        <fgColor theme="5"/>
        <bgColor indexed="64"/>
      </patternFill>
    </fill>
    <fill>
      <patternFill patternType="solid">
        <fgColor theme="4" tint="0.799981688894314"/>
        <bgColor indexed="64"/>
      </patternFill>
    </fill>
    <fill>
      <patternFill patternType="solid">
        <fgColor rgb="FFA5A5A5"/>
        <bgColor indexed="64"/>
      </patternFill>
    </fill>
    <fill>
      <patternFill patternType="solid">
        <fgColor theme="4"/>
        <bgColor indexed="64"/>
      </patternFill>
    </fill>
    <fill>
      <patternFill patternType="solid">
        <fgColor theme="4" tint="0.399975585192419"/>
        <bgColor indexed="64"/>
      </patternFill>
    </fill>
    <fill>
      <patternFill patternType="solid">
        <fgColor rgb="FFFFEB9C"/>
        <bgColor indexed="64"/>
      </patternFill>
    </fill>
    <fill>
      <patternFill patternType="solid">
        <fgColor rgb="FFFFC7CE"/>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6" tint="0.799981688894314"/>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7"/>
        <bgColor indexed="64"/>
      </patternFill>
    </fill>
    <fill>
      <patternFill patternType="solid">
        <fgColor theme="6" tint="0.399975585192419"/>
        <bgColor indexed="64"/>
      </patternFill>
    </fill>
    <fill>
      <patternFill patternType="solid">
        <fgColor theme="8"/>
        <bgColor indexed="64"/>
      </patternFill>
    </fill>
  </fills>
  <borders count="26">
    <border>
      <left/>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bottom>
      <diagonal/>
    </border>
    <border>
      <left/>
      <right/>
      <top style="thin">
        <color theme="4"/>
      </top>
      <bottom style="double">
        <color theme="4"/>
      </bottom>
      <diagonal/>
    </border>
  </borders>
  <cellStyleXfs count="50">
    <xf numFmtId="0" fontId="0" fillId="0" borderId="0">
      <alignment vertical="center"/>
    </xf>
    <xf numFmtId="43" fontId="15" fillId="0" borderId="0" applyFont="0" applyFill="0" applyBorder="0" applyAlignment="0" applyProtection="0">
      <alignment vertical="center"/>
    </xf>
    <xf numFmtId="0" fontId="20" fillId="9" borderId="20" applyNumberFormat="0" applyAlignment="0" applyProtection="0">
      <alignment vertical="center"/>
    </xf>
    <xf numFmtId="179" fontId="15" fillId="0" borderId="0" applyFont="0" applyFill="0" applyBorder="0" applyAlignment="0" applyProtection="0">
      <alignment vertical="center"/>
    </xf>
    <xf numFmtId="178" fontId="15" fillId="0" borderId="0" applyFont="0" applyFill="0" applyBorder="0" applyAlignment="0" applyProtection="0">
      <alignment vertical="center"/>
    </xf>
    <xf numFmtId="0" fontId="16" fillId="14" borderId="0" applyNumberFormat="0" applyBorder="0" applyAlignment="0" applyProtection="0">
      <alignment vertical="center"/>
    </xf>
    <xf numFmtId="177" fontId="15" fillId="0" borderId="0" applyFont="0" applyFill="0" applyBorder="0" applyAlignment="0" applyProtection="0">
      <alignment vertical="center"/>
    </xf>
    <xf numFmtId="0" fontId="16" fillId="11" borderId="0" applyNumberFormat="0" applyBorder="0" applyAlignment="0" applyProtection="0">
      <alignment vertical="center"/>
    </xf>
    <xf numFmtId="0" fontId="18" fillId="6" borderId="18" applyNumberFormat="0" applyFont="0" applyAlignment="0" applyProtection="0">
      <alignment vertical="center"/>
    </xf>
    <xf numFmtId="9" fontId="15" fillId="0" borderId="0" applyFont="0" applyFill="0" applyBorder="0" applyAlignment="0" applyProtection="0">
      <alignment vertical="center"/>
    </xf>
    <xf numFmtId="0" fontId="8" fillId="0" borderId="0" applyNumberFormat="0" applyFill="0" applyBorder="0" applyAlignment="0" applyProtection="0">
      <alignment vertical="center"/>
    </xf>
    <xf numFmtId="0" fontId="21" fillId="16" borderId="0" applyNumberFormat="0" applyBorder="0" applyAlignment="0" applyProtection="0">
      <alignment vertical="center"/>
    </xf>
    <xf numFmtId="0" fontId="24" fillId="0" borderId="0" applyNumberFormat="0" applyFill="0" applyBorder="0" applyAlignment="0" applyProtection="0">
      <alignment vertical="center"/>
    </xf>
    <xf numFmtId="0" fontId="23" fillId="15" borderId="0" applyNumberFormat="0" applyBorder="0" applyAlignment="0" applyProtection="0">
      <alignment vertical="center"/>
    </xf>
    <xf numFmtId="0" fontId="17" fillId="0" borderId="0" applyNumberFormat="0" applyFill="0" applyBorder="0" applyAlignment="0" applyProtection="0">
      <alignment vertical="center"/>
    </xf>
    <xf numFmtId="0" fontId="26" fillId="0" borderId="23" applyNumberFormat="0" applyFill="0" applyAlignment="0" applyProtection="0">
      <alignment vertical="center"/>
    </xf>
    <xf numFmtId="0" fontId="28"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1" fillId="13" borderId="0" applyNumberFormat="0" applyBorder="0" applyAlignment="0" applyProtection="0">
      <alignment vertical="center"/>
    </xf>
    <xf numFmtId="0" fontId="19" fillId="8" borderId="19" applyNumberFormat="0" applyAlignment="0" applyProtection="0">
      <alignment vertical="center"/>
    </xf>
    <xf numFmtId="0" fontId="27" fillId="0" borderId="24" applyNumberFormat="0" applyFill="0" applyAlignment="0" applyProtection="0">
      <alignment vertical="center"/>
    </xf>
    <xf numFmtId="0" fontId="29" fillId="0" borderId="24" applyNumberFormat="0" applyFill="0" applyAlignment="0" applyProtection="0">
      <alignment vertical="center"/>
    </xf>
    <xf numFmtId="0" fontId="33" fillId="8" borderId="20" applyNumberFormat="0" applyAlignment="0" applyProtection="0">
      <alignment vertical="center"/>
    </xf>
    <xf numFmtId="0" fontId="22" fillId="0" borderId="21" applyNumberFormat="0" applyFill="0" applyAlignment="0" applyProtection="0">
      <alignment vertical="center"/>
    </xf>
    <xf numFmtId="0" fontId="22" fillId="0" borderId="0" applyNumberFormat="0" applyFill="0" applyBorder="0" applyAlignment="0" applyProtection="0">
      <alignment vertical="center"/>
    </xf>
    <xf numFmtId="0" fontId="21" fillId="25" borderId="0" applyNumberFormat="0" applyBorder="0" applyAlignment="0" applyProtection="0">
      <alignment vertical="center"/>
    </xf>
    <xf numFmtId="0" fontId="25" fillId="18" borderId="22" applyNumberFormat="0" applyAlignment="0" applyProtection="0">
      <alignment vertical="center"/>
    </xf>
    <xf numFmtId="0" fontId="16" fillId="23" borderId="0" applyNumberFormat="0" applyBorder="0" applyAlignment="0" applyProtection="0">
      <alignment vertical="center"/>
    </xf>
    <xf numFmtId="0" fontId="32" fillId="0" borderId="25" applyNumberFormat="0" applyFill="0" applyAlignment="0" applyProtection="0">
      <alignment vertical="center"/>
    </xf>
    <xf numFmtId="0" fontId="34" fillId="22" borderId="0" applyNumberFormat="0" applyBorder="0" applyAlignment="0" applyProtection="0">
      <alignment vertical="center"/>
    </xf>
    <xf numFmtId="0" fontId="31" fillId="21" borderId="0" applyNumberFormat="0" applyBorder="0" applyAlignment="0" applyProtection="0">
      <alignment vertical="center"/>
    </xf>
    <xf numFmtId="0" fontId="21" fillId="19" borderId="0" applyNumberFormat="0" applyBorder="0" applyAlignment="0" applyProtection="0">
      <alignment vertical="center"/>
    </xf>
    <xf numFmtId="0" fontId="16" fillId="17" borderId="0" applyNumberFormat="0" applyBorder="0" applyAlignment="0" applyProtection="0">
      <alignment vertical="center"/>
    </xf>
    <xf numFmtId="0" fontId="16" fillId="27" borderId="0" applyNumberFormat="0" applyBorder="0" applyAlignment="0" applyProtection="0">
      <alignment vertical="center"/>
    </xf>
    <xf numFmtId="0" fontId="21" fillId="20" borderId="0" applyNumberFormat="0" applyBorder="0" applyAlignment="0" applyProtection="0">
      <alignment vertical="center"/>
    </xf>
    <xf numFmtId="0" fontId="16" fillId="7" borderId="0" applyNumberFormat="0" applyBorder="0" applyAlignment="0" applyProtection="0">
      <alignment vertical="center"/>
    </xf>
    <xf numFmtId="0" fontId="16" fillId="5" borderId="0" applyNumberFormat="0" applyBorder="0" applyAlignment="0" applyProtection="0">
      <alignment vertical="center"/>
    </xf>
    <xf numFmtId="0" fontId="16" fillId="12" borderId="0" applyNumberFormat="0" applyBorder="0" applyAlignment="0" applyProtection="0">
      <alignment vertical="center"/>
    </xf>
    <xf numFmtId="0" fontId="21" fillId="30" borderId="0" applyNumberFormat="0" applyBorder="0" applyAlignment="0" applyProtection="0">
      <alignment vertical="center"/>
    </xf>
    <xf numFmtId="0" fontId="21" fillId="10" borderId="0" applyNumberFormat="0" applyBorder="0" applyAlignment="0" applyProtection="0">
      <alignment vertical="center"/>
    </xf>
    <xf numFmtId="0" fontId="16" fillId="29" borderId="0" applyNumberFormat="0" applyBorder="0" applyAlignment="0" applyProtection="0">
      <alignment vertical="center"/>
    </xf>
    <xf numFmtId="0" fontId="16" fillId="32" borderId="0" applyNumberFormat="0" applyBorder="0" applyAlignment="0" applyProtection="0">
      <alignment vertical="center"/>
    </xf>
    <xf numFmtId="0" fontId="21" fillId="34" borderId="0" applyNumberFormat="0" applyBorder="0" applyAlignment="0" applyProtection="0">
      <alignment vertical="center"/>
    </xf>
    <xf numFmtId="0" fontId="21" fillId="33" borderId="0" applyNumberFormat="0" applyBorder="0" applyAlignment="0" applyProtection="0">
      <alignment vertical="center"/>
    </xf>
    <xf numFmtId="0" fontId="16" fillId="24" borderId="0" applyNumberFormat="0" applyBorder="0" applyAlignment="0" applyProtection="0">
      <alignment vertical="center"/>
    </xf>
    <xf numFmtId="0" fontId="21" fillId="31" borderId="0" applyNumberFormat="0" applyBorder="0" applyAlignment="0" applyProtection="0">
      <alignment vertical="center"/>
    </xf>
    <xf numFmtId="0" fontId="21" fillId="35" borderId="0" applyNumberFormat="0" applyBorder="0" applyAlignment="0" applyProtection="0">
      <alignment vertical="center"/>
    </xf>
    <xf numFmtId="0" fontId="16" fillId="26" borderId="0" applyNumberFormat="0" applyBorder="0" applyAlignment="0" applyProtection="0">
      <alignment vertical="center"/>
    </xf>
    <xf numFmtId="0" fontId="21" fillId="28" borderId="0" applyNumberFormat="0" applyBorder="0" applyAlignment="0" applyProtection="0">
      <alignment vertical="center"/>
    </xf>
    <xf numFmtId="0" fontId="35" fillId="0" borderId="0"/>
  </cellStyleXfs>
  <cellXfs count="63">
    <xf numFmtId="0" fontId="0" fillId="0" borderId="0" xfId="0">
      <alignment vertical="center"/>
    </xf>
    <xf numFmtId="0" fontId="1" fillId="0" borderId="0" xfId="0" applyFont="1" applyAlignment="1">
      <alignment horizontal="center" vertical="center"/>
    </xf>
    <xf numFmtId="0" fontId="2" fillId="2" borderId="1" xfId="0" applyFont="1" applyFill="1" applyBorder="1" applyAlignment="1">
      <alignment horizontal="center" vertical="center"/>
    </xf>
    <xf numFmtId="40" fontId="2" fillId="2" borderId="1" xfId="1" applyNumberFormat="1" applyFont="1" applyFill="1" applyBorder="1" applyAlignment="1">
      <alignment horizontal="center" vertical="center" shrinkToFit="1"/>
    </xf>
    <xf numFmtId="0" fontId="0" fillId="3" borderId="2" xfId="0" applyFill="1" applyBorder="1" applyAlignment="1">
      <alignment horizontal="center" vertical="center"/>
    </xf>
    <xf numFmtId="176" fontId="2" fillId="0" borderId="2" xfId="0" applyNumberFormat="1" applyFont="1" applyFill="1" applyBorder="1" applyAlignment="1">
      <alignment vertical="center" shrinkToFit="1"/>
    </xf>
    <xf numFmtId="38" fontId="2" fillId="0" borderId="2" xfId="0" applyNumberFormat="1" applyFont="1" applyFill="1" applyBorder="1" applyAlignment="1">
      <alignment vertical="center"/>
    </xf>
    <xf numFmtId="40" fontId="2" fillId="0" borderId="2" xfId="1" applyNumberFormat="1" applyFont="1" applyFill="1" applyBorder="1" applyAlignment="1">
      <alignment vertical="center"/>
    </xf>
    <xf numFmtId="0" fontId="0" fillId="0" borderId="2" xfId="0" applyBorder="1">
      <alignment vertical="center"/>
    </xf>
    <xf numFmtId="0" fontId="2" fillId="0" borderId="2" xfId="0" applyFont="1" applyFill="1" applyBorder="1" applyAlignment="1">
      <alignment vertical="center"/>
    </xf>
    <xf numFmtId="38" fontId="3" fillId="0" borderId="2" xfId="0" applyNumberFormat="1" applyFont="1" applyFill="1" applyBorder="1" applyAlignment="1">
      <alignment horizontal="right" vertical="center" wrapText="1"/>
    </xf>
    <xf numFmtId="38" fontId="2" fillId="0" borderId="2" xfId="1" applyNumberFormat="1" applyFont="1" applyFill="1" applyBorder="1" applyAlignment="1">
      <alignment vertical="center"/>
    </xf>
    <xf numFmtId="176" fontId="2" fillId="0" borderId="2" xfId="0" applyNumberFormat="1" applyFont="1" applyFill="1" applyBorder="1" applyAlignment="1">
      <alignment horizontal="left" vertical="center" shrinkToFit="1"/>
    </xf>
    <xf numFmtId="0" fontId="2" fillId="0" borderId="2" xfId="0" applyFont="1" applyFill="1" applyBorder="1" applyAlignment="1">
      <alignment horizontal="left" vertical="center"/>
    </xf>
    <xf numFmtId="0" fontId="2" fillId="0" borderId="2" xfId="0" applyFont="1" applyFill="1" applyBorder="1" applyAlignment="1">
      <alignment horizontal="left" wrapText="1"/>
    </xf>
    <xf numFmtId="0" fontId="1" fillId="3" borderId="2" xfId="0" applyFont="1" applyFill="1" applyBorder="1" applyAlignment="1">
      <alignment horizontal="center" vertical="center"/>
    </xf>
    <xf numFmtId="0" fontId="1" fillId="0" borderId="2" xfId="0" applyFont="1" applyBorder="1" applyAlignment="1">
      <alignment horizontal="left" vertical="center"/>
    </xf>
    <xf numFmtId="0" fontId="4" fillId="0" borderId="0" xfId="0" applyFont="1">
      <alignment vertical="center"/>
    </xf>
    <xf numFmtId="0" fontId="4" fillId="0" borderId="0" xfId="0" applyFont="1" applyAlignment="1">
      <alignment horizontal="left"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180" fontId="2" fillId="2" borderId="1" xfId="0" applyNumberFormat="1" applyFont="1" applyFill="1" applyBorder="1" applyAlignment="1">
      <alignment horizontal="center" vertical="center" wrapText="1"/>
    </xf>
    <xf numFmtId="0" fontId="3" fillId="2" borderId="2" xfId="0" applyFont="1" applyFill="1" applyBorder="1" applyAlignment="1">
      <alignment horizontal="center" vertical="center" shrinkToFit="1"/>
    </xf>
    <xf numFmtId="0" fontId="3" fillId="2" borderId="2" xfId="0" applyFont="1" applyFill="1" applyBorder="1" applyAlignment="1">
      <alignment horizontal="center" vertical="center"/>
    </xf>
    <xf numFmtId="0" fontId="3" fillId="0" borderId="2" xfId="0" applyFont="1" applyFill="1" applyBorder="1" applyAlignment="1">
      <alignment vertical="center" shrinkToFit="1"/>
    </xf>
    <xf numFmtId="0" fontId="5" fillId="0" borderId="2" xfId="0" applyFont="1" applyFill="1" applyBorder="1" applyAlignment="1">
      <alignment wrapText="1"/>
    </xf>
    <xf numFmtId="38" fontId="2" fillId="0" borderId="0" xfId="0" applyNumberFormat="1" applyFont="1" applyFill="1" applyBorder="1" applyAlignment="1">
      <alignment horizontal="right" vertical="center" wrapText="1"/>
    </xf>
    <xf numFmtId="38" fontId="6" fillId="0" borderId="0" xfId="0" applyNumberFormat="1" applyFont="1" applyFill="1" applyBorder="1" applyAlignment="1">
      <alignment horizontal="right" vertical="center" wrapText="1"/>
    </xf>
    <xf numFmtId="0" fontId="7" fillId="0" borderId="0" xfId="0" applyFont="1">
      <alignment vertical="center"/>
    </xf>
    <xf numFmtId="0" fontId="8" fillId="0" borderId="0" xfId="10">
      <alignment vertical="center"/>
    </xf>
    <xf numFmtId="0" fontId="9" fillId="0" borderId="0" xfId="0" applyFont="1">
      <alignmen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40" fontId="2" fillId="2" borderId="7" xfId="1" applyNumberFormat="1" applyFont="1" applyFill="1" applyBorder="1" applyAlignment="1">
      <alignment horizontal="center" vertical="center" shrinkToFit="1"/>
    </xf>
    <xf numFmtId="0" fontId="0" fillId="4" borderId="8" xfId="0" applyFill="1" applyBorder="1">
      <alignment vertical="center"/>
    </xf>
    <xf numFmtId="176" fontId="2" fillId="0" borderId="9" xfId="0" applyNumberFormat="1" applyFont="1" applyFill="1" applyBorder="1" applyAlignment="1">
      <alignment vertical="center" shrinkToFit="1"/>
    </xf>
    <xf numFmtId="40" fontId="2" fillId="0" borderId="10" xfId="1" applyNumberFormat="1" applyFont="1" applyFill="1" applyBorder="1" applyAlignment="1">
      <alignment vertical="center"/>
    </xf>
    <xf numFmtId="0" fontId="10" fillId="0" borderId="9" xfId="0" applyFont="1" applyBorder="1" applyAlignment="1">
      <alignment horizontal="center" vertical="center"/>
    </xf>
    <xf numFmtId="0" fontId="11" fillId="0" borderId="9" xfId="0" applyFont="1" applyFill="1" applyBorder="1" applyAlignment="1">
      <alignment vertical="center"/>
    </xf>
    <xf numFmtId="38" fontId="11" fillId="0" borderId="2" xfId="0" applyNumberFormat="1" applyFont="1" applyFill="1" applyBorder="1" applyAlignment="1">
      <alignment vertical="center"/>
    </xf>
    <xf numFmtId="40" fontId="11" fillId="0" borderId="10" xfId="1" applyNumberFormat="1" applyFont="1" applyFill="1" applyBorder="1" applyAlignment="1">
      <alignment vertical="center"/>
    </xf>
    <xf numFmtId="38" fontId="12" fillId="0" borderId="9" xfId="0" applyNumberFormat="1" applyFont="1" applyFill="1" applyBorder="1" applyAlignment="1">
      <alignment horizontal="right" vertical="center" wrapText="1"/>
    </xf>
    <xf numFmtId="0" fontId="13" fillId="0" borderId="9" xfId="0" applyFont="1" applyBorder="1">
      <alignment vertical="center"/>
    </xf>
    <xf numFmtId="0" fontId="0" fillId="0" borderId="9" xfId="0" applyBorder="1">
      <alignment vertical="center"/>
    </xf>
    <xf numFmtId="176" fontId="11" fillId="0" borderId="9" xfId="0" applyNumberFormat="1" applyFont="1" applyFill="1" applyBorder="1" applyAlignment="1">
      <alignment vertical="center" shrinkToFit="1"/>
    </xf>
    <xf numFmtId="176" fontId="2" fillId="0" borderId="9" xfId="0" applyNumberFormat="1" applyFont="1" applyFill="1" applyBorder="1" applyAlignment="1">
      <alignment horizontal="left" vertical="center" shrinkToFit="1"/>
    </xf>
    <xf numFmtId="38" fontId="3" fillId="0" borderId="9" xfId="0" applyNumberFormat="1" applyFont="1" applyFill="1" applyBorder="1" applyAlignment="1">
      <alignment horizontal="right" vertical="center" wrapText="1"/>
    </xf>
    <xf numFmtId="0" fontId="2" fillId="0" borderId="11" xfId="0" applyFont="1" applyFill="1" applyBorder="1" applyAlignment="1">
      <alignment horizontal="left" vertical="center"/>
    </xf>
    <xf numFmtId="38" fontId="2" fillId="0" borderId="12" xfId="0" applyNumberFormat="1" applyFont="1" applyFill="1" applyBorder="1" applyAlignment="1">
      <alignment vertical="center"/>
    </xf>
    <xf numFmtId="40" fontId="2" fillId="0" borderId="13" xfId="1" applyNumberFormat="1" applyFont="1" applyFill="1" applyBorder="1" applyAlignment="1">
      <alignment vertical="center"/>
    </xf>
    <xf numFmtId="38" fontId="3" fillId="0" borderId="11" xfId="0" applyNumberFormat="1" applyFont="1" applyFill="1" applyBorder="1" applyAlignment="1">
      <alignment horizontal="right" vertical="center" wrapText="1"/>
    </xf>
    <xf numFmtId="0" fontId="0" fillId="4" borderId="14" xfId="0" applyFill="1" applyBorder="1">
      <alignment vertical="center"/>
    </xf>
    <xf numFmtId="0" fontId="1" fillId="4" borderId="15" xfId="0" applyFont="1" applyFill="1" applyBorder="1">
      <alignment vertical="center"/>
    </xf>
    <xf numFmtId="0" fontId="10" fillId="0" borderId="10" xfId="0" applyFont="1" applyBorder="1" applyAlignment="1">
      <alignment horizontal="center" vertical="center"/>
    </xf>
    <xf numFmtId="0" fontId="1" fillId="0" borderId="16" xfId="0" applyFont="1" applyBorder="1" applyAlignment="1">
      <alignment horizontal="left" vertical="center"/>
    </xf>
    <xf numFmtId="38" fontId="12" fillId="0" borderId="10" xfId="0" applyNumberFormat="1" applyFont="1" applyFill="1" applyBorder="1" applyAlignment="1">
      <alignment horizontal="right" vertical="center" wrapText="1"/>
    </xf>
    <xf numFmtId="0" fontId="14" fillId="0" borderId="16" xfId="0" applyFont="1" applyBorder="1" applyAlignment="1">
      <alignment horizontal="left" vertical="center"/>
    </xf>
    <xf numFmtId="0" fontId="13" fillId="0" borderId="10" xfId="0" applyFont="1" applyBorder="1">
      <alignment vertical="center"/>
    </xf>
    <xf numFmtId="0" fontId="0" fillId="0" borderId="16" xfId="0" applyBorder="1">
      <alignment vertical="center"/>
    </xf>
    <xf numFmtId="0" fontId="0" fillId="0" borderId="10" xfId="0" applyBorder="1">
      <alignment vertical="center"/>
    </xf>
    <xf numFmtId="38" fontId="3" fillId="0" borderId="10" xfId="0" applyNumberFormat="1" applyFont="1" applyFill="1" applyBorder="1" applyAlignment="1">
      <alignment horizontal="right" vertical="center" wrapText="1"/>
    </xf>
    <xf numFmtId="38" fontId="3" fillId="0" borderId="13" xfId="0" applyNumberFormat="1" applyFont="1" applyFill="1" applyBorder="1" applyAlignment="1">
      <alignment horizontal="right" vertical="center" wrapText="1"/>
    </xf>
    <xf numFmtId="0" fontId="0" fillId="0" borderId="17" xfId="0" applyBorder="1" applyAlignment="1">
      <alignment horizontal="center" vertical="center"/>
    </xf>
    <xf numFmtId="0" fontId="7" fillId="0" borderId="0" xfId="0" applyFont="1" quotePrefix="1">
      <alignment vertical="center"/>
    </xf>
  </cellXfs>
  <cellStyles count="50">
    <cellStyle name="標準" xfId="0" builtinId="0"/>
    <cellStyle name="桁区切り[0]" xfId="1" builtinId="6"/>
    <cellStyle name="入力" xfId="2" builtinId="20"/>
    <cellStyle name="桁区切り" xfId="3" builtinId="3"/>
    <cellStyle name="通貨[0]" xfId="4" builtinId="7"/>
    <cellStyle name="40% - アクセント 5" xfId="5" builtinId="47"/>
    <cellStyle name="通貨" xfId="6" builtinId="4"/>
    <cellStyle name="20% - アクセント 4" xfId="7" builtinId="42"/>
    <cellStyle name="メモ" xfId="8" builtinId="10"/>
    <cellStyle name="パーセント" xfId="9" builtinId="5"/>
    <cellStyle name="ハイパーリンク" xfId="10" builtinId="8"/>
    <cellStyle name="アクセント 2" xfId="11" builtinId="33"/>
    <cellStyle name="訪問済ハイパーリンク" xfId="12" builtinId="9"/>
    <cellStyle name="良い" xfId="13" builtinId="26"/>
    <cellStyle name="警告文" xfId="14" builtinId="11"/>
    <cellStyle name="リンクセル" xfId="15" builtinId="24"/>
    <cellStyle name="タイトル" xfId="16" builtinId="15"/>
    <cellStyle name="説明文" xfId="17" builtinId="53"/>
    <cellStyle name="アクセント 6" xfId="18" builtinId="49"/>
    <cellStyle name="出力" xfId="19" builtinId="21"/>
    <cellStyle name="見出し 1" xfId="20" builtinId="16"/>
    <cellStyle name="見出し 2" xfId="21" builtinId="17"/>
    <cellStyle name="計算" xfId="22" builtinId="22"/>
    <cellStyle name="見出し 3" xfId="23" builtinId="18"/>
    <cellStyle name="見出し 4" xfId="24" builtinId="19"/>
    <cellStyle name="60% - アクセント 5" xfId="25" builtinId="48"/>
    <cellStyle name="チェックセル" xfId="26" builtinId="23"/>
    <cellStyle name="40% - アクセント 1" xfId="27" builtinId="31"/>
    <cellStyle name="集計" xfId="28" builtinId="25"/>
    <cellStyle name="悪い" xfId="29" builtinId="27"/>
    <cellStyle name="どちらでもない" xfId="30" builtinId="28"/>
    <cellStyle name="アクセント 1" xfId="31" builtinId="29"/>
    <cellStyle name="20% - アクセント 1" xfId="32" builtinId="30"/>
    <cellStyle name="20% - アクセント 5" xfId="33" builtinId="46"/>
    <cellStyle name="60% - アクセント 1" xfId="34" builtinId="32"/>
    <cellStyle name="20% - アクセント 2" xfId="35" builtinId="34"/>
    <cellStyle name="40% - アクセント 2" xfId="36" builtinId="35"/>
    <cellStyle name="20% - アクセント 6" xfId="37" builtinId="50"/>
    <cellStyle name="60% - アクセント 2" xfId="38" builtinId="36"/>
    <cellStyle name="アクセント 3" xfId="39" builtinId="37"/>
    <cellStyle name="20% - アクセント 3" xfId="40" builtinId="38"/>
    <cellStyle name="40% - アクセント 3" xfId="41" builtinId="39"/>
    <cellStyle name="60% - アクセント 3" xfId="42" builtinId="40"/>
    <cellStyle name="アクセント 4" xfId="43" builtinId="41"/>
    <cellStyle name="40% - アクセント 4" xfId="44" builtinId="43"/>
    <cellStyle name="60% - アクセント 4" xfId="45" builtinId="44"/>
    <cellStyle name="アクセント 5" xfId="46" builtinId="45"/>
    <cellStyle name="40% - アクセント 6" xfId="47" builtinId="51"/>
    <cellStyle name="60% - アクセント 6" xfId="48" builtinId="52"/>
    <cellStyle name="標準 2 2" xfId="49"/>
  </cellStyles>
  <tableStyles count="0" defaultTableStyle="TableStyleMedium2" defaultPivotStyle="PivotStyleLight16"/>
  <colors>
    <mruColors>
      <color rgb="00C5D9F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microsoft.com/office/2006/relationships/vbaProject" Target="vbaProject.bin"/><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978C9E23-D4B0-11CE-BF2D-00AA003F40D0}"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9525</xdr:colOff>
      <xdr:row>17</xdr:row>
      <xdr:rowOff>152400</xdr:rowOff>
    </xdr:from>
    <xdr:to>
      <xdr:col>15</xdr:col>
      <xdr:colOff>589915</xdr:colOff>
      <xdr:row>21</xdr:row>
      <xdr:rowOff>95250</xdr:rowOff>
    </xdr:to>
    <xdr:sp>
      <xdr:nvSpPr>
        <xdr:cNvPr id="3" name="四角形吹き出し 2"/>
        <xdr:cNvSpPr/>
      </xdr:nvSpPr>
      <xdr:spPr>
        <a:xfrm>
          <a:off x="7762875" y="2771775"/>
          <a:ext cx="3323590" cy="609600"/>
        </a:xfrm>
        <a:prstGeom prst="wedgeRectCallout">
          <a:avLst>
            <a:gd name="adj1" fmla="val -74684"/>
            <a:gd name="adj2" fmla="val 91666"/>
          </a:avLst>
        </a:prstGeom>
        <a:solidFill>
          <a:schemeClr val="lt1"/>
        </a:solidFill>
        <a:ln w="6350" cap="flat" cmpd="sng" algn="ctr">
          <a:solidFill>
            <a:schemeClr val="tx1"/>
          </a:solidFill>
          <a:prstDash val="solid"/>
          <a:miter lim="200000"/>
        </a:ln>
      </xdr:spPr>
      <xdr:txBody>
        <a:bodyPr vertOverflow="clip" horzOverflow="clip"/>
        <a:p>
          <a:r>
            <a:rPr lang="ja-JP" altLang="en-US" sz="900"/>
            <a:t>鰭ヶ崎や西平井等は５歳～１４歳までの人口が多く最寄りに鰭ヶ崎団地自治会館がある事が判り子ども食堂の出店に向いていないか検討の価値も見えなくもない</a:t>
          </a:r>
          <a:endParaRPr lang="ja-JP" altLang="en-US" sz="900"/>
        </a:p>
      </xdr:txBody>
    </xdr:sp>
    <xdr:clientData/>
  </xdr:twoCellAnchor>
  <xdr:twoCellAnchor>
    <xdr:from>
      <xdr:col>11</xdr:col>
      <xdr:colOff>28575</xdr:colOff>
      <xdr:row>27</xdr:row>
      <xdr:rowOff>133350</xdr:rowOff>
    </xdr:from>
    <xdr:to>
      <xdr:col>15</xdr:col>
      <xdr:colOff>608965</xdr:colOff>
      <xdr:row>31</xdr:row>
      <xdr:rowOff>74930</xdr:rowOff>
    </xdr:to>
    <xdr:sp>
      <xdr:nvSpPr>
        <xdr:cNvPr id="4" name="四角形吹き出し 3"/>
        <xdr:cNvSpPr/>
      </xdr:nvSpPr>
      <xdr:spPr>
        <a:xfrm>
          <a:off x="7781925" y="4429125"/>
          <a:ext cx="3323590" cy="589280"/>
        </a:xfrm>
        <a:prstGeom prst="wedgeRectCallout">
          <a:avLst>
            <a:gd name="adj1" fmla="val -74111"/>
            <a:gd name="adj2" fmla="val 110416"/>
          </a:avLst>
        </a:prstGeom>
        <a:solidFill>
          <a:schemeClr val="lt1"/>
        </a:solidFill>
        <a:ln w="6350" cap="flat" cmpd="sng" algn="ctr">
          <a:solidFill>
            <a:schemeClr val="tx1"/>
          </a:solidFill>
          <a:prstDash val="solid"/>
          <a:miter lim="200000"/>
        </a:ln>
      </xdr:spPr>
      <xdr:txBody>
        <a:bodyPr vertOverflow="clip" horzOverflow="clip"/>
        <a:lstStyle>
          <a:defPPr>
            <a:defRPr lang="ja-JP"/>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r>
            <a:rPr lang="ja-JP" altLang="en-US" sz="900"/>
            <a:t>木等は人口も子供、世帯人員とも多いのに自治会館の様な集会所がないと思えるので建設してもよさそうである。</a:t>
          </a:r>
          <a:endParaRPr lang="ja-JP" altLang="en-US" sz="900"/>
        </a:p>
        <a:p>
          <a:r>
            <a:rPr lang="ja-JP" altLang="en-US" sz="900"/>
            <a:t>（筆者には土地勘がないので判然としないが地図上ではなさそうである。</a:t>
          </a:r>
          <a:endParaRPr lang="ja-JP" altLang="en-US" sz="900"/>
        </a:p>
        <a:p>
          <a:endParaRPr lang="ja-JP" altLang="en-US" sz="900"/>
        </a:p>
      </xdr:txBody>
    </xdr:sp>
    <xdr:clientData/>
  </xdr:twoCellAnchor>
  <xdr:twoCellAnchor>
    <xdr:from>
      <xdr:col>11</xdr:col>
      <xdr:colOff>0</xdr:colOff>
      <xdr:row>7</xdr:row>
      <xdr:rowOff>142240</xdr:rowOff>
    </xdr:from>
    <xdr:to>
      <xdr:col>15</xdr:col>
      <xdr:colOff>580390</xdr:colOff>
      <xdr:row>13</xdr:row>
      <xdr:rowOff>47625</xdr:rowOff>
    </xdr:to>
    <xdr:sp>
      <xdr:nvSpPr>
        <xdr:cNvPr id="5" name="四角形吹き出し 4"/>
        <xdr:cNvSpPr/>
      </xdr:nvSpPr>
      <xdr:spPr>
        <a:xfrm>
          <a:off x="7753350" y="1228090"/>
          <a:ext cx="3323590" cy="819785"/>
        </a:xfrm>
        <a:prstGeom prst="wedgeRectCallout">
          <a:avLst>
            <a:gd name="adj1" fmla="val -75831"/>
            <a:gd name="adj2" fmla="val 135570"/>
          </a:avLst>
        </a:prstGeom>
        <a:solidFill>
          <a:schemeClr val="lt1"/>
        </a:solidFill>
        <a:ln w="6350" cap="flat" cmpd="sng" algn="ctr">
          <a:solidFill>
            <a:schemeClr val="tx1"/>
          </a:solidFill>
          <a:prstDash val="solid"/>
          <a:miter lim="200000"/>
        </a:ln>
      </xdr:spPr>
      <xdr:txBody>
        <a:bodyPr vertOverflow="clip" horzOverflow="clip"/>
        <a:lstStyle>
          <a:defPPr>
            <a:defRPr lang="ja-JP"/>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r>
            <a:rPr lang="ja-JP" altLang="en-US" sz="900"/>
            <a:t>東深井や十太夫は人口が多いにも関わらず、字別・年齢別人口に東深井地区のデータがないので５歳～１４歳の実数が把握出来ないが、特に十太夫は世帯人員が高いので子供も多いと思われる（老人と実年世代とも考えられる）</a:t>
          </a:r>
          <a:endParaRPr lang="ja-JP" altLang="en-US" sz="900"/>
        </a:p>
        <a:p>
          <a:endParaRPr lang="ja-JP" altLang="en-US" sz="900"/>
        </a:p>
        <a:p>
          <a:endParaRPr lang="ja-JP" altLang="en-US" sz="900"/>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142875</xdr:rowOff>
        </xdr:from>
        <xdr:to>
          <xdr:col>5</xdr:col>
          <xdr:colOff>276860</xdr:colOff>
          <xdr:row>2</xdr:row>
          <xdr:rowOff>152400</xdr:rowOff>
        </xdr:to>
        <xdr:sp>
          <xdr:nvSpPr>
            <xdr:cNvPr id="1026" name="CommandButton1" hidden="1">
              <a:extLst>
                <a:ext uri="{63B3BB69-23CF-44E3-9099-C40C66FF867C}">
                  <a14:compatExt spid="_x0000_s1026"/>
                </a:ext>
              </a:extLst>
            </xdr:cNvPr>
            <xdr:cNvSpPr/>
          </xdr:nvSpPr>
          <xdr:spPr>
            <a:xfrm>
              <a:off x="3533775" y="142875"/>
              <a:ext cx="1019810" cy="3524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1</xdr:row>
          <xdr:rowOff>28575</xdr:rowOff>
        </xdr:from>
        <xdr:to>
          <xdr:col>3</xdr:col>
          <xdr:colOff>142875</xdr:colOff>
          <xdr:row>2</xdr:row>
          <xdr:rowOff>105410</xdr:rowOff>
        </xdr:to>
        <xdr:sp>
          <xdr:nvSpPr>
            <xdr:cNvPr id="1027" name="Label1" hidden="1">
              <a:extLst>
                <a:ext uri="{63B3BB69-23CF-44E3-9099-C40C66FF867C}">
                  <a14:compatExt spid="_x0000_s1027"/>
                </a:ext>
              </a:extLst>
            </xdr:cNvPr>
            <xdr:cNvSpPr/>
          </xdr:nvSpPr>
          <xdr:spPr>
            <a:xfrm>
              <a:off x="257175" y="200025"/>
              <a:ext cx="2638425" cy="248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142875</xdr:rowOff>
        </xdr:from>
        <xdr:to>
          <xdr:col>7</xdr:col>
          <xdr:colOff>305435</xdr:colOff>
          <xdr:row>2</xdr:row>
          <xdr:rowOff>152400</xdr:rowOff>
        </xdr:to>
        <xdr:sp>
          <xdr:nvSpPr>
            <xdr:cNvPr id="1030" name="CommandButton2" hidden="1">
              <a:extLst>
                <a:ext uri="{63B3BB69-23CF-44E3-9099-C40C66FF867C}">
                  <a14:compatExt spid="_x0000_s1030"/>
                </a:ext>
              </a:extLst>
            </xdr:cNvPr>
            <xdr:cNvSpPr/>
          </xdr:nvSpPr>
          <xdr:spPr>
            <a:xfrm>
              <a:off x="5038725" y="142875"/>
              <a:ext cx="1019810" cy="352425"/>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969;&#23665;&#20840;&#20307;&#32113;&#35336;.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表紙"/>
      <sheetName val="凡例"/>
      <sheetName val="1日"/>
      <sheetName val="生活"/>
      <sheetName val="目次1-11"/>
      <sheetName val="目次12-17"/>
      <sheetName val="1土地・気象　見出"/>
      <sheetName val="1・2"/>
      <sheetName val="3"/>
      <sheetName val="4(左)"/>
      <sheetName val="4(右)"/>
      <sheetName val="5・6"/>
      <sheetName val="2人口"/>
      <sheetName val="1"/>
      <sheetName val="2･3"/>
      <sheetName val="３ (2)"/>
      <sheetName val="４"/>
      <sheetName val="５(左)"/>
      <sheetName val="５(右)"/>
      <sheetName val="６(左)1"/>
      <sheetName val="６(右)1"/>
      <sheetName val="６(左)2"/>
      <sheetName val="６(右)2"/>
      <sheetName val="６(左)3"/>
      <sheetName val="６(右)3"/>
      <sheetName val="３国勢調査"/>
      <sheetName val="1 (2)"/>
      <sheetName val="2･3 (2)"/>
      <sheetName val="4 (2)"/>
      <sheetName val="5･6･7"/>
      <sheetName val="8･9"/>
      <sheetName val="10"/>
      <sheetName val="11(1)"/>
      <sheetName val="11(2)"/>
      <sheetName val="11(3)"/>
      <sheetName val="12･13"/>
      <sheetName val="14(左)"/>
      <sheetName val="14(右)"/>
      <sheetName val="15･16･17"/>
      <sheetName val="4農業"/>
      <sheetName val="1･2･3･4"/>
      <sheetName val="5･6･7 "/>
      <sheetName val="8･9 "/>
      <sheetName val="10･11"/>
      <sheetName val="5工業"/>
      <sheetName val="1(左）"/>
      <sheetName val="1(右）"/>
      <sheetName val="2･3･4(左)"/>
      <sheetName val="2･3･4(右）"/>
      <sheetName val="6商業"/>
      <sheetName val="1･2 (2)"/>
      <sheetName val="7事業所"/>
      <sheetName val="1･2(左)"/>
      <sheetName val="2(右)"/>
      <sheetName val="8金融"/>
      <sheetName val="1･2 (3)"/>
      <sheetName val="9土木・建設"/>
      <sheetName val="1･2･3･4 (2)"/>
      <sheetName val="10上下水道"/>
      <sheetName val="1･2･3"/>
      <sheetName val="11運輸・通信"/>
      <sheetName val="1･2 (4)"/>
      <sheetName val="3･4･5"/>
      <sheetName val="6･7"/>
      <sheetName val="12保健・衛星"/>
      <sheetName val="1･2･3･4 (3)"/>
      <sheetName val="5･6･7･8"/>
      <sheetName val="9･10・11･12"/>
      <sheetName val="13労働・社会福祉"/>
      <sheetName val="1･2･3 (2)"/>
      <sheetName val="4･5･6･7"/>
      <sheetName val="8･9･10"/>
      <sheetName val="14教育・文化"/>
      <sheetName val="1･2･3･4 "/>
      <sheetName val="5･6･7･8 "/>
      <sheetName val="9･10･11"/>
      <sheetName val="12･13 "/>
      <sheetName val="15警察・消防"/>
      <sheetName val="１･2･3･4(左)"/>
      <sheetName val="1･2･3･4(右)"/>
      <sheetName val="5･6･7･8･9"/>
      <sheetName val="10･11 "/>
      <sheetName val="16財政"/>
      <sheetName val="1･2 (5)"/>
      <sheetName val="3･4"/>
      <sheetName val="5･6･7（2)"/>
      <sheetName val="17選挙・議会・公務員"/>
      <sheetName val="1 (3)"/>
      <sheetName val="2"/>
      <sheetName val="３・4 (2)"/>
      <sheetName val="最終紙"/>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3">
          <cell r="A3" t="str">
            <v>別人口（住民基本台帳人口）</v>
          </cell>
        </row>
        <row r="4">
          <cell r="L4" t="str">
            <v>平成29年4月1日現在 </v>
          </cell>
        </row>
        <row r="5">
          <cell r="A5" t="str">
            <v> 45～49歳</v>
          </cell>
          <cell r="B5" t="str">
            <v> 50～54歳</v>
          </cell>
          <cell r="C5" t="str">
            <v> 55～59歳</v>
          </cell>
          <cell r="D5" t="str">
            <v> 60～64歳</v>
          </cell>
          <cell r="E5" t="str">
            <v> 65～69歳</v>
          </cell>
          <cell r="F5" t="str">
            <v> 70～74歳</v>
          </cell>
          <cell r="G5" t="str">
            <v> 75～79歳</v>
          </cell>
          <cell r="H5" t="str">
            <v>80～84歳</v>
          </cell>
          <cell r="I5" t="str">
            <v>85～89歳</v>
          </cell>
          <cell r="J5" t="str">
            <v>90～94歳</v>
          </cell>
          <cell r="K5" t="str">
            <v>95～100歳</v>
          </cell>
          <cell r="L5" t="str">
            <v>101歳～</v>
          </cell>
        </row>
        <row r="6">
          <cell r="A6">
            <v>13697</v>
          </cell>
          <cell r="B6">
            <v>10169</v>
          </cell>
          <cell r="C6">
            <v>8849</v>
          </cell>
          <cell r="D6">
            <v>9499</v>
          </cell>
          <cell r="E6">
            <v>13018</v>
          </cell>
          <cell r="F6">
            <v>10862</v>
          </cell>
          <cell r="G6">
            <v>8803</v>
          </cell>
          <cell r="H6">
            <v>5897</v>
          </cell>
          <cell r="I6">
            <v>3183</v>
          </cell>
          <cell r="J6">
            <v>1376</v>
          </cell>
          <cell r="K6">
            <v>414</v>
          </cell>
          <cell r="L6">
            <v>76</v>
          </cell>
        </row>
        <row r="7">
          <cell r="A7">
            <v>69</v>
          </cell>
          <cell r="B7">
            <v>31</v>
          </cell>
          <cell r="C7">
            <v>33</v>
          </cell>
          <cell r="D7">
            <v>43</v>
          </cell>
          <cell r="E7">
            <v>56</v>
          </cell>
          <cell r="F7">
            <v>39</v>
          </cell>
          <cell r="G7">
            <v>32</v>
          </cell>
          <cell r="H7">
            <v>18</v>
          </cell>
          <cell r="I7">
            <v>6</v>
          </cell>
          <cell r="J7">
            <v>3</v>
          </cell>
          <cell r="K7">
            <v>2</v>
          </cell>
          <cell r="L7">
            <v>0</v>
          </cell>
        </row>
        <row r="8">
          <cell r="A8">
            <v>29</v>
          </cell>
          <cell r="B8">
            <v>24</v>
          </cell>
          <cell r="C8">
            <v>25</v>
          </cell>
          <cell r="D8">
            <v>14</v>
          </cell>
          <cell r="E8">
            <v>23</v>
          </cell>
          <cell r="F8">
            <v>22</v>
          </cell>
          <cell r="G8">
            <v>26</v>
          </cell>
          <cell r="H8">
            <v>14</v>
          </cell>
          <cell r="I8">
            <v>5</v>
          </cell>
          <cell r="J8">
            <v>4</v>
          </cell>
          <cell r="K8">
            <v>1</v>
          </cell>
          <cell r="L8">
            <v>0</v>
          </cell>
        </row>
        <row r="9">
          <cell r="A9">
            <v>66</v>
          </cell>
          <cell r="B9">
            <v>59</v>
          </cell>
          <cell r="C9">
            <v>36</v>
          </cell>
          <cell r="D9">
            <v>40</v>
          </cell>
          <cell r="E9">
            <v>54</v>
          </cell>
          <cell r="F9">
            <v>49</v>
          </cell>
          <cell r="G9">
            <v>41</v>
          </cell>
          <cell r="H9">
            <v>27</v>
          </cell>
          <cell r="I9">
            <v>27</v>
          </cell>
          <cell r="J9">
            <v>4</v>
          </cell>
          <cell r="K9">
            <v>1</v>
          </cell>
          <cell r="L9">
            <v>0</v>
          </cell>
        </row>
        <row r="10">
          <cell r="A10">
            <v>15</v>
          </cell>
          <cell r="B10">
            <v>11</v>
          </cell>
          <cell r="C10">
            <v>20</v>
          </cell>
          <cell r="D10">
            <v>19</v>
          </cell>
          <cell r="E10">
            <v>28</v>
          </cell>
          <cell r="F10">
            <v>29</v>
          </cell>
          <cell r="G10">
            <v>23</v>
          </cell>
          <cell r="H10">
            <v>8</v>
          </cell>
          <cell r="I10">
            <v>10</v>
          </cell>
          <cell r="J10">
            <v>7</v>
          </cell>
          <cell r="K10">
            <v>2</v>
          </cell>
          <cell r="L10">
            <v>0</v>
          </cell>
        </row>
        <row r="11">
          <cell r="A11">
            <v>41</v>
          </cell>
          <cell r="B11">
            <v>29</v>
          </cell>
          <cell r="C11">
            <v>31</v>
          </cell>
          <cell r="D11">
            <v>30</v>
          </cell>
          <cell r="E11">
            <v>19</v>
          </cell>
          <cell r="F11">
            <v>25</v>
          </cell>
          <cell r="G11">
            <v>27</v>
          </cell>
          <cell r="H11">
            <v>20</v>
          </cell>
          <cell r="I11">
            <v>11</v>
          </cell>
          <cell r="J11">
            <v>3</v>
          </cell>
          <cell r="K11">
            <v>0</v>
          </cell>
          <cell r="L11">
            <v>0</v>
          </cell>
        </row>
        <row r="12">
          <cell r="A12">
            <v>26</v>
          </cell>
          <cell r="B12">
            <v>18</v>
          </cell>
          <cell r="C12">
            <v>12</v>
          </cell>
          <cell r="D12">
            <v>22</v>
          </cell>
          <cell r="E12">
            <v>33</v>
          </cell>
          <cell r="F12">
            <v>30</v>
          </cell>
          <cell r="G12">
            <v>7</v>
          </cell>
          <cell r="H12">
            <v>11</v>
          </cell>
          <cell r="I12">
            <v>14</v>
          </cell>
          <cell r="J12">
            <v>1</v>
          </cell>
          <cell r="K12">
            <v>0</v>
          </cell>
          <cell r="L12">
            <v>0</v>
          </cell>
        </row>
        <row r="13">
          <cell r="A13">
            <v>22</v>
          </cell>
          <cell r="B13">
            <v>23</v>
          </cell>
          <cell r="C13">
            <v>17</v>
          </cell>
          <cell r="D13">
            <v>21</v>
          </cell>
          <cell r="E13">
            <v>30</v>
          </cell>
          <cell r="F13">
            <v>15</v>
          </cell>
          <cell r="G13">
            <v>28</v>
          </cell>
          <cell r="H13">
            <v>10</v>
          </cell>
          <cell r="I13">
            <v>4</v>
          </cell>
          <cell r="J13">
            <v>7</v>
          </cell>
          <cell r="K13">
            <v>1</v>
          </cell>
          <cell r="L13">
            <v>1</v>
          </cell>
        </row>
        <row r="14">
          <cell r="A14">
            <v>23</v>
          </cell>
          <cell r="B14">
            <v>26</v>
          </cell>
          <cell r="C14">
            <v>26</v>
          </cell>
          <cell r="D14">
            <v>12</v>
          </cell>
          <cell r="E14">
            <v>32</v>
          </cell>
          <cell r="F14">
            <v>31</v>
          </cell>
          <cell r="G14">
            <v>25</v>
          </cell>
          <cell r="H14">
            <v>14</v>
          </cell>
          <cell r="I14">
            <v>11</v>
          </cell>
          <cell r="J14">
            <v>3</v>
          </cell>
          <cell r="K14">
            <v>3</v>
          </cell>
          <cell r="L14">
            <v>0</v>
          </cell>
        </row>
        <row r="15">
          <cell r="A15">
            <v>76</v>
          </cell>
          <cell r="B15">
            <v>57</v>
          </cell>
          <cell r="C15">
            <v>38</v>
          </cell>
          <cell r="D15">
            <v>50</v>
          </cell>
          <cell r="E15">
            <v>65</v>
          </cell>
          <cell r="F15">
            <v>33</v>
          </cell>
          <cell r="G15">
            <v>39</v>
          </cell>
          <cell r="H15">
            <v>29</v>
          </cell>
          <cell r="I15">
            <v>20</v>
          </cell>
          <cell r="J15">
            <v>8</v>
          </cell>
          <cell r="K15">
            <v>2</v>
          </cell>
          <cell r="L15">
            <v>0</v>
          </cell>
        </row>
        <row r="16">
          <cell r="A16">
            <v>34</v>
          </cell>
          <cell r="B16">
            <v>38</v>
          </cell>
          <cell r="C16">
            <v>24</v>
          </cell>
          <cell r="D16">
            <v>20</v>
          </cell>
          <cell r="E16">
            <v>32</v>
          </cell>
          <cell r="F16">
            <v>26</v>
          </cell>
          <cell r="G16">
            <v>17</v>
          </cell>
          <cell r="H16">
            <v>20</v>
          </cell>
          <cell r="I16">
            <v>7</v>
          </cell>
          <cell r="J16">
            <v>1</v>
          </cell>
          <cell r="K16">
            <v>1</v>
          </cell>
          <cell r="L16">
            <v>1</v>
          </cell>
        </row>
        <row r="17">
          <cell r="A17">
            <v>5</v>
          </cell>
          <cell r="B17">
            <v>7</v>
          </cell>
          <cell r="C17">
            <v>7</v>
          </cell>
          <cell r="D17">
            <v>5</v>
          </cell>
          <cell r="E17">
            <v>9</v>
          </cell>
          <cell r="F17">
            <v>10</v>
          </cell>
          <cell r="G17">
            <v>9</v>
          </cell>
          <cell r="H17">
            <v>17</v>
          </cell>
          <cell r="I17">
            <v>1</v>
          </cell>
          <cell r="J17">
            <v>1</v>
          </cell>
          <cell r="K17">
            <v>0</v>
          </cell>
          <cell r="L17">
            <v>0</v>
          </cell>
        </row>
        <row r="18">
          <cell r="A18">
            <v>146</v>
          </cell>
          <cell r="B18">
            <v>156</v>
          </cell>
          <cell r="C18">
            <v>188</v>
          </cell>
          <cell r="D18">
            <v>198</v>
          </cell>
          <cell r="E18">
            <v>176</v>
          </cell>
          <cell r="F18">
            <v>93</v>
          </cell>
          <cell r="G18">
            <v>67</v>
          </cell>
          <cell r="H18">
            <v>31</v>
          </cell>
          <cell r="I18">
            <v>18</v>
          </cell>
          <cell r="J18">
            <v>6</v>
          </cell>
          <cell r="K18">
            <v>1</v>
          </cell>
          <cell r="L18">
            <v>1</v>
          </cell>
        </row>
        <row r="19">
          <cell r="A19">
            <v>76</v>
          </cell>
          <cell r="B19">
            <v>58</v>
          </cell>
          <cell r="C19">
            <v>55</v>
          </cell>
          <cell r="D19">
            <v>72</v>
          </cell>
          <cell r="E19">
            <v>68</v>
          </cell>
          <cell r="F19">
            <v>51</v>
          </cell>
          <cell r="G19">
            <v>42</v>
          </cell>
          <cell r="H19">
            <v>29</v>
          </cell>
          <cell r="I19">
            <v>14</v>
          </cell>
          <cell r="J19">
            <v>8</v>
          </cell>
          <cell r="K19">
            <v>2</v>
          </cell>
          <cell r="L19">
            <v>1</v>
          </cell>
        </row>
        <row r="20">
          <cell r="A20">
            <v>100</v>
          </cell>
          <cell r="B20">
            <v>99</v>
          </cell>
          <cell r="C20">
            <v>141</v>
          </cell>
          <cell r="D20">
            <v>239</v>
          </cell>
          <cell r="E20">
            <v>226</v>
          </cell>
          <cell r="F20">
            <v>102</v>
          </cell>
          <cell r="G20">
            <v>54</v>
          </cell>
          <cell r="H20">
            <v>54</v>
          </cell>
          <cell r="I20">
            <v>27</v>
          </cell>
          <cell r="J20">
            <v>15</v>
          </cell>
          <cell r="K20">
            <v>1</v>
          </cell>
          <cell r="L20">
            <v>0</v>
          </cell>
        </row>
        <row r="21">
          <cell r="A21">
            <v>90</v>
          </cell>
          <cell r="B21">
            <v>114</v>
          </cell>
          <cell r="C21">
            <v>97</v>
          </cell>
          <cell r="D21">
            <v>99</v>
          </cell>
          <cell r="E21">
            <v>105</v>
          </cell>
          <cell r="F21">
            <v>76</v>
          </cell>
          <cell r="G21">
            <v>59</v>
          </cell>
          <cell r="H21">
            <v>26</v>
          </cell>
          <cell r="I21">
            <v>13</v>
          </cell>
          <cell r="J21">
            <v>9</v>
          </cell>
          <cell r="K21">
            <v>4</v>
          </cell>
          <cell r="L21">
            <v>0</v>
          </cell>
        </row>
        <row r="22">
          <cell r="A22">
            <v>29</v>
          </cell>
          <cell r="B22">
            <v>27</v>
          </cell>
          <cell r="C22">
            <v>22</v>
          </cell>
          <cell r="D22">
            <v>28</v>
          </cell>
          <cell r="E22">
            <v>37</v>
          </cell>
          <cell r="F22">
            <v>26</v>
          </cell>
          <cell r="G22">
            <v>28</v>
          </cell>
          <cell r="H22">
            <v>12</v>
          </cell>
          <cell r="I22">
            <v>9</v>
          </cell>
          <cell r="J22">
            <v>4</v>
          </cell>
          <cell r="K22">
            <v>1</v>
          </cell>
          <cell r="L22">
            <v>1</v>
          </cell>
        </row>
        <row r="23">
          <cell r="A23">
            <v>46</v>
          </cell>
          <cell r="B23">
            <v>45</v>
          </cell>
          <cell r="C23">
            <v>43</v>
          </cell>
          <cell r="D23">
            <v>47</v>
          </cell>
          <cell r="E23">
            <v>66</v>
          </cell>
          <cell r="F23">
            <v>59</v>
          </cell>
          <cell r="G23">
            <v>49</v>
          </cell>
          <cell r="H23">
            <v>38</v>
          </cell>
          <cell r="I23">
            <v>21</v>
          </cell>
          <cell r="J23">
            <v>7</v>
          </cell>
          <cell r="K23">
            <v>3</v>
          </cell>
          <cell r="L23">
            <v>0</v>
          </cell>
        </row>
        <row r="24">
          <cell r="A24">
            <v>12</v>
          </cell>
          <cell r="B24">
            <v>3</v>
          </cell>
          <cell r="C24">
            <v>0</v>
          </cell>
          <cell r="D24">
            <v>5</v>
          </cell>
          <cell r="E24">
            <v>1</v>
          </cell>
          <cell r="F24">
            <v>1</v>
          </cell>
          <cell r="G24">
            <v>1</v>
          </cell>
          <cell r="H24">
            <v>2</v>
          </cell>
          <cell r="I24">
            <v>0</v>
          </cell>
          <cell r="J24">
            <v>1</v>
          </cell>
          <cell r="K24">
            <v>0</v>
          </cell>
          <cell r="L24">
            <v>0</v>
          </cell>
        </row>
        <row r="25">
          <cell r="A25">
            <v>97</v>
          </cell>
          <cell r="B25">
            <v>47</v>
          </cell>
          <cell r="C25">
            <v>48</v>
          </cell>
          <cell r="D25">
            <v>64</v>
          </cell>
          <cell r="E25">
            <v>74</v>
          </cell>
          <cell r="F25">
            <v>74</v>
          </cell>
          <cell r="G25">
            <v>63</v>
          </cell>
          <cell r="H25">
            <v>36</v>
          </cell>
          <cell r="I25">
            <v>13</v>
          </cell>
          <cell r="J25">
            <v>9</v>
          </cell>
          <cell r="K25">
            <v>0</v>
          </cell>
          <cell r="L25">
            <v>0</v>
          </cell>
        </row>
        <row r="26">
          <cell r="A26">
            <v>143</v>
          </cell>
          <cell r="B26">
            <v>82</v>
          </cell>
          <cell r="C26">
            <v>44</v>
          </cell>
          <cell r="D26">
            <v>49</v>
          </cell>
          <cell r="E26">
            <v>76</v>
          </cell>
          <cell r="F26">
            <v>66</v>
          </cell>
          <cell r="G26">
            <v>55</v>
          </cell>
          <cell r="H26">
            <v>33</v>
          </cell>
          <cell r="I26">
            <v>19</v>
          </cell>
          <cell r="J26">
            <v>6</v>
          </cell>
          <cell r="K26">
            <v>2</v>
          </cell>
          <cell r="L26">
            <v>0</v>
          </cell>
        </row>
        <row r="27">
          <cell r="A27">
            <v>91</v>
          </cell>
          <cell r="B27">
            <v>34</v>
          </cell>
          <cell r="C27">
            <v>11</v>
          </cell>
          <cell r="D27">
            <v>17</v>
          </cell>
          <cell r="E27">
            <v>23</v>
          </cell>
          <cell r="F27">
            <v>13</v>
          </cell>
          <cell r="G27">
            <v>12</v>
          </cell>
          <cell r="H27">
            <v>10</v>
          </cell>
          <cell r="I27">
            <v>8</v>
          </cell>
          <cell r="J27">
            <v>3</v>
          </cell>
          <cell r="K27">
            <v>0</v>
          </cell>
          <cell r="L27">
            <v>0</v>
          </cell>
        </row>
        <row r="28">
          <cell r="A28">
            <v>86</v>
          </cell>
          <cell r="B28">
            <v>31</v>
          </cell>
          <cell r="C28">
            <v>9</v>
          </cell>
          <cell r="D28">
            <v>10</v>
          </cell>
          <cell r="E28">
            <v>41</v>
          </cell>
          <cell r="F28">
            <v>34</v>
          </cell>
          <cell r="G28">
            <v>9</v>
          </cell>
          <cell r="H28">
            <v>6</v>
          </cell>
          <cell r="I28">
            <v>4</v>
          </cell>
          <cell r="J28">
            <v>2</v>
          </cell>
          <cell r="K28">
            <v>1</v>
          </cell>
          <cell r="L28">
            <v>0</v>
          </cell>
        </row>
        <row r="29">
          <cell r="A29">
            <v>26</v>
          </cell>
          <cell r="B29">
            <v>17</v>
          </cell>
          <cell r="C29">
            <v>13</v>
          </cell>
          <cell r="D29">
            <v>20</v>
          </cell>
          <cell r="E29">
            <v>25</v>
          </cell>
          <cell r="F29">
            <v>20</v>
          </cell>
          <cell r="G29">
            <v>9</v>
          </cell>
          <cell r="H29">
            <v>8</v>
          </cell>
          <cell r="I29">
            <v>5</v>
          </cell>
          <cell r="J29">
            <v>0</v>
          </cell>
          <cell r="K29">
            <v>0</v>
          </cell>
          <cell r="L29">
            <v>0</v>
          </cell>
        </row>
        <row r="30">
          <cell r="A30">
            <v>339</v>
          </cell>
          <cell r="B30">
            <v>250</v>
          </cell>
          <cell r="C30">
            <v>197</v>
          </cell>
          <cell r="D30">
            <v>212</v>
          </cell>
          <cell r="E30">
            <v>303</v>
          </cell>
          <cell r="F30">
            <v>307</v>
          </cell>
          <cell r="G30">
            <v>182</v>
          </cell>
          <cell r="H30">
            <v>135</v>
          </cell>
          <cell r="I30">
            <v>71</v>
          </cell>
          <cell r="J30">
            <v>27</v>
          </cell>
          <cell r="K30">
            <v>14</v>
          </cell>
          <cell r="L30">
            <v>0</v>
          </cell>
        </row>
        <row r="31">
          <cell r="A31">
            <v>496</v>
          </cell>
          <cell r="B31">
            <v>373</v>
          </cell>
          <cell r="C31">
            <v>338</v>
          </cell>
          <cell r="D31">
            <v>366</v>
          </cell>
          <cell r="E31">
            <v>461</v>
          </cell>
          <cell r="F31">
            <v>407</v>
          </cell>
          <cell r="G31">
            <v>367</v>
          </cell>
          <cell r="H31">
            <v>241</v>
          </cell>
          <cell r="I31">
            <v>109</v>
          </cell>
          <cell r="J31">
            <v>45</v>
          </cell>
          <cell r="K31">
            <v>11</v>
          </cell>
          <cell r="L31">
            <v>1</v>
          </cell>
        </row>
        <row r="32">
          <cell r="A32">
            <v>62</v>
          </cell>
          <cell r="B32">
            <v>41</v>
          </cell>
          <cell r="C32">
            <v>28</v>
          </cell>
          <cell r="D32">
            <v>18</v>
          </cell>
          <cell r="E32">
            <v>42</v>
          </cell>
          <cell r="F32">
            <v>23</v>
          </cell>
          <cell r="G32">
            <v>27</v>
          </cell>
          <cell r="H32">
            <v>15</v>
          </cell>
          <cell r="I32">
            <v>5</v>
          </cell>
          <cell r="J32">
            <v>1</v>
          </cell>
          <cell r="K32">
            <v>0</v>
          </cell>
          <cell r="L32">
            <v>1</v>
          </cell>
        </row>
        <row r="33">
          <cell r="A33">
            <v>150</v>
          </cell>
          <cell r="B33">
            <v>85</v>
          </cell>
          <cell r="C33">
            <v>44</v>
          </cell>
          <cell r="D33">
            <v>45</v>
          </cell>
          <cell r="E33">
            <v>60</v>
          </cell>
          <cell r="F33">
            <v>44</v>
          </cell>
          <cell r="G33">
            <v>37</v>
          </cell>
          <cell r="H33">
            <v>28</v>
          </cell>
          <cell r="I33">
            <v>22</v>
          </cell>
          <cell r="J33">
            <v>4</v>
          </cell>
          <cell r="K33">
            <v>3</v>
          </cell>
          <cell r="L33">
            <v>0</v>
          </cell>
        </row>
        <row r="34">
          <cell r="A34">
            <v>46</v>
          </cell>
          <cell r="B34">
            <v>32</v>
          </cell>
          <cell r="C34">
            <v>37</v>
          </cell>
          <cell r="D34">
            <v>24</v>
          </cell>
          <cell r="E34">
            <v>46</v>
          </cell>
          <cell r="F34">
            <v>46</v>
          </cell>
          <cell r="G34">
            <v>47</v>
          </cell>
          <cell r="H34">
            <v>28</v>
          </cell>
          <cell r="I34">
            <v>8</v>
          </cell>
          <cell r="J34">
            <v>5</v>
          </cell>
          <cell r="K34">
            <v>1</v>
          </cell>
          <cell r="L34">
            <v>0</v>
          </cell>
        </row>
        <row r="35">
          <cell r="A35">
            <v>81</v>
          </cell>
          <cell r="B35">
            <v>61</v>
          </cell>
          <cell r="C35">
            <v>38</v>
          </cell>
          <cell r="D35">
            <v>40</v>
          </cell>
          <cell r="E35">
            <v>52</v>
          </cell>
          <cell r="F35">
            <v>97</v>
          </cell>
          <cell r="G35">
            <v>80</v>
          </cell>
          <cell r="H35">
            <v>39</v>
          </cell>
          <cell r="I35">
            <v>23</v>
          </cell>
          <cell r="J35">
            <v>9</v>
          </cell>
          <cell r="K35">
            <v>1</v>
          </cell>
          <cell r="L35">
            <v>0</v>
          </cell>
        </row>
        <row r="36">
          <cell r="A36">
            <v>38</v>
          </cell>
          <cell r="B36">
            <v>18</v>
          </cell>
          <cell r="C36">
            <v>23</v>
          </cell>
          <cell r="D36">
            <v>13</v>
          </cell>
          <cell r="E36">
            <v>26</v>
          </cell>
          <cell r="F36">
            <v>31</v>
          </cell>
          <cell r="G36">
            <v>23</v>
          </cell>
          <cell r="H36">
            <v>11</v>
          </cell>
          <cell r="I36">
            <v>4</v>
          </cell>
          <cell r="J36">
            <v>1</v>
          </cell>
          <cell r="K36">
            <v>0</v>
          </cell>
          <cell r="L36">
            <v>0</v>
          </cell>
        </row>
        <row r="37">
          <cell r="A37">
            <v>159</v>
          </cell>
          <cell r="B37">
            <v>164</v>
          </cell>
          <cell r="C37">
            <v>136</v>
          </cell>
          <cell r="D37">
            <v>120</v>
          </cell>
          <cell r="E37">
            <v>152</v>
          </cell>
          <cell r="F37">
            <v>108</v>
          </cell>
          <cell r="G37">
            <v>120</v>
          </cell>
          <cell r="H37">
            <v>100</v>
          </cell>
          <cell r="I37">
            <v>51</v>
          </cell>
          <cell r="J37">
            <v>20</v>
          </cell>
          <cell r="K37">
            <v>6</v>
          </cell>
          <cell r="L37">
            <v>1</v>
          </cell>
        </row>
        <row r="38">
          <cell r="A38">
            <v>87</v>
          </cell>
          <cell r="B38">
            <v>79</v>
          </cell>
          <cell r="C38">
            <v>87</v>
          </cell>
          <cell r="D38">
            <v>80</v>
          </cell>
          <cell r="E38">
            <v>99</v>
          </cell>
          <cell r="F38">
            <v>138</v>
          </cell>
          <cell r="G38">
            <v>125</v>
          </cell>
          <cell r="H38">
            <v>81</v>
          </cell>
          <cell r="I38">
            <v>49</v>
          </cell>
          <cell r="J38">
            <v>18</v>
          </cell>
          <cell r="K38">
            <v>4</v>
          </cell>
          <cell r="L38">
            <v>0</v>
          </cell>
        </row>
        <row r="39">
          <cell r="A39">
            <v>148</v>
          </cell>
          <cell r="B39">
            <v>115</v>
          </cell>
          <cell r="C39">
            <v>96</v>
          </cell>
          <cell r="D39">
            <v>71</v>
          </cell>
          <cell r="E39">
            <v>81</v>
          </cell>
          <cell r="F39">
            <v>65</v>
          </cell>
          <cell r="G39">
            <v>49</v>
          </cell>
          <cell r="H39">
            <v>31</v>
          </cell>
          <cell r="I39">
            <v>11</v>
          </cell>
          <cell r="J39">
            <v>3</v>
          </cell>
          <cell r="K39">
            <v>0</v>
          </cell>
          <cell r="L39">
            <v>0</v>
          </cell>
        </row>
        <row r="40">
          <cell r="A40">
            <v>238</v>
          </cell>
          <cell r="B40">
            <v>158</v>
          </cell>
          <cell r="C40">
            <v>97</v>
          </cell>
          <cell r="D40">
            <v>84</v>
          </cell>
          <cell r="E40">
            <v>99</v>
          </cell>
          <cell r="F40">
            <v>93</v>
          </cell>
          <cell r="G40">
            <v>56</v>
          </cell>
          <cell r="H40">
            <v>36</v>
          </cell>
          <cell r="I40">
            <v>20</v>
          </cell>
          <cell r="J40">
            <v>6</v>
          </cell>
          <cell r="K40">
            <v>2</v>
          </cell>
          <cell r="L40">
            <v>0</v>
          </cell>
        </row>
        <row r="41">
          <cell r="A41">
            <v>122</v>
          </cell>
          <cell r="B41">
            <v>109</v>
          </cell>
          <cell r="C41">
            <v>92</v>
          </cell>
          <cell r="D41">
            <v>106</v>
          </cell>
          <cell r="E41">
            <v>105</v>
          </cell>
          <cell r="F41">
            <v>77</v>
          </cell>
          <cell r="G41">
            <v>41</v>
          </cell>
          <cell r="H41">
            <v>24</v>
          </cell>
          <cell r="I41">
            <v>11</v>
          </cell>
          <cell r="J41">
            <v>4</v>
          </cell>
          <cell r="K41">
            <v>2</v>
          </cell>
          <cell r="L41">
            <v>0</v>
          </cell>
        </row>
        <row r="42">
          <cell r="A42">
            <v>120</v>
          </cell>
          <cell r="B42">
            <v>93</v>
          </cell>
          <cell r="C42">
            <v>56</v>
          </cell>
          <cell r="D42">
            <v>51</v>
          </cell>
          <cell r="E42">
            <v>62</v>
          </cell>
          <cell r="F42">
            <v>52</v>
          </cell>
          <cell r="G42">
            <v>42</v>
          </cell>
          <cell r="H42">
            <v>30</v>
          </cell>
          <cell r="I42">
            <v>11</v>
          </cell>
          <cell r="J42">
            <v>4</v>
          </cell>
          <cell r="K42">
            <v>0</v>
          </cell>
          <cell r="L42">
            <v>0</v>
          </cell>
        </row>
        <row r="43">
          <cell r="A43">
            <v>80</v>
          </cell>
          <cell r="B43">
            <v>62</v>
          </cell>
          <cell r="C43">
            <v>34</v>
          </cell>
          <cell r="D43">
            <v>40</v>
          </cell>
          <cell r="E43">
            <v>56</v>
          </cell>
          <cell r="F43">
            <v>43</v>
          </cell>
          <cell r="G43">
            <v>30</v>
          </cell>
          <cell r="H43">
            <v>18</v>
          </cell>
          <cell r="I43">
            <v>10</v>
          </cell>
          <cell r="J43">
            <v>2</v>
          </cell>
          <cell r="K43">
            <v>1</v>
          </cell>
          <cell r="L43">
            <v>1</v>
          </cell>
        </row>
        <row r="44">
          <cell r="A44">
            <v>209</v>
          </cell>
          <cell r="B44">
            <v>193</v>
          </cell>
          <cell r="C44">
            <v>158</v>
          </cell>
          <cell r="D44">
            <v>196</v>
          </cell>
          <cell r="E44">
            <v>297</v>
          </cell>
          <cell r="F44">
            <v>167</v>
          </cell>
          <cell r="G44">
            <v>93</v>
          </cell>
          <cell r="H44">
            <v>62</v>
          </cell>
          <cell r="I44">
            <v>28</v>
          </cell>
          <cell r="J44">
            <v>19</v>
          </cell>
          <cell r="K44">
            <v>3</v>
          </cell>
          <cell r="L44">
            <v>0</v>
          </cell>
        </row>
      </sheetData>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gradFill rotWithShape="0">
          <a:gsLst>
            <a:gs pos="100000">
              <a:srgbClr val="9CBEE0"/>
            </a:gs>
            <a:gs pos="0">
              <a:srgbClr val="BBD5F0"/>
            </a:gs>
          </a:gsLst>
          <a:lin ang="5400000" scaled="0"/>
        </a:gradFill>
        <a:ln w="15875" cap="flat" cmpd="sng" algn="ctr">
          <a:solidFill>
            <a:srgbClr val="739CC3"/>
          </a:solidFill>
          <a:prstDash val="solid"/>
          <a:miter lim="200000"/>
        </a:ln>
      </a:spPr>
      <a:bodyPr vertOverflow="clip" horzOverflow="clip"/>
      <a:lstStyle>
        <a:defPPr>
          <a:defRPr lang="ja-JP" altLang="en-US"/>
        </a:defPPr>
      </a:lstStyle>
    </a:spDef>
  </a:objectDefaults>
</a:theme>
</file>

<file path=xl/worksheets/_rels/sheet1.xml.rels><?xml version="1.0" encoding="UTF-8" standalone="yes"?>
<Relationships xmlns="http://schemas.openxmlformats.org/package/2006/relationships"><Relationship Id="rId2" Type="http://schemas.openxmlformats.org/officeDocument/2006/relationships/hyperlink" Target="http://www.city.nagareyama.chiba.jp/information/1008422/1008423/1008461.html" TargetMode="Externa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00B050"/>
  </sheetPr>
  <dimension ref="A1:J153"/>
  <sheetViews>
    <sheetView workbookViewId="0">
      <selection activeCell="K7" sqref="K7"/>
    </sheetView>
  </sheetViews>
  <sheetFormatPr defaultColWidth="9" defaultRowHeight="12"/>
  <cols>
    <col min="1" max="1" width="2.875" style="28" customWidth="1"/>
    <col min="2" max="9" width="9" style="28"/>
    <col min="10" max="10" width="17.875" style="28" customWidth="1"/>
    <col min="11" max="16384" width="9" style="28"/>
  </cols>
  <sheetData>
    <row r="1" spans="1:1">
      <c r="A1" s="28" t="s">
        <v>0</v>
      </c>
    </row>
    <row r="2" spans="2:2">
      <c r="B2" s="28" t="s">
        <v>1</v>
      </c>
    </row>
    <row r="3" spans="2:2">
      <c r="B3" s="28" t="s">
        <v>2</v>
      </c>
    </row>
    <row r="5" spans="1:1">
      <c r="A5" s="28" t="s">
        <v>3</v>
      </c>
    </row>
    <row r="6" spans="2:2">
      <c r="B6" s="28" t="s">
        <v>4</v>
      </c>
    </row>
    <row r="7" ht="13.5" spans="2:2">
      <c r="B7" s="29" t="s">
        <v>5</v>
      </c>
    </row>
    <row r="8" spans="2:2">
      <c r="B8" s="28" t="s">
        <v>6</v>
      </c>
    </row>
    <row r="9" spans="2:2">
      <c r="B9" s="30" t="s">
        <v>7</v>
      </c>
    </row>
    <row r="10" spans="2:2">
      <c r="B10" s="28" t="s">
        <v>8</v>
      </c>
    </row>
    <row r="11" spans="2:2">
      <c r="B11" s="28" t="s">
        <v>9</v>
      </c>
    </row>
    <row r="13" spans="1:1">
      <c r="A13" s="28" t="s">
        <v>10</v>
      </c>
    </row>
    <row r="14" spans="2:2">
      <c r="B14" s="28" t="s">
        <v>11</v>
      </c>
    </row>
    <row r="15" spans="2:2">
      <c r="B15" s="28" t="s">
        <v>12</v>
      </c>
    </row>
    <row r="16" spans="2:2">
      <c r="B16" s="28" t="s">
        <v>13</v>
      </c>
    </row>
    <row r="17" ht="12.75"/>
    <row r="18" ht="13.5" spans="2:10">
      <c r="B18" s="31" t="s">
        <v>14</v>
      </c>
      <c r="C18" s="32" t="s">
        <v>15</v>
      </c>
      <c r="D18" s="32" t="s">
        <v>16</v>
      </c>
      <c r="E18" s="32" t="s">
        <v>17</v>
      </c>
      <c r="F18" s="32" t="s">
        <v>18</v>
      </c>
      <c r="G18" s="33" t="s">
        <v>19</v>
      </c>
      <c r="H18" s="34" t="s">
        <v>20</v>
      </c>
      <c r="I18" s="51" t="s">
        <v>21</v>
      </c>
      <c r="J18" s="52" t="s">
        <v>22</v>
      </c>
    </row>
    <row r="19" ht="13.5" spans="2:10">
      <c r="B19" s="35" t="s">
        <v>23</v>
      </c>
      <c r="C19" s="6">
        <v>5879</v>
      </c>
      <c r="D19" s="6">
        <v>6871</v>
      </c>
      <c r="E19" s="6">
        <v>6858</v>
      </c>
      <c r="F19" s="6">
        <v>13729</v>
      </c>
      <c r="G19" s="36">
        <v>2.33526109882633</v>
      </c>
      <c r="H19" s="37" t="s">
        <v>24</v>
      </c>
      <c r="I19" s="53" t="s">
        <v>24</v>
      </c>
      <c r="J19" s="54" t="s">
        <v>25</v>
      </c>
    </row>
    <row r="20" spans="2:10">
      <c r="B20" s="38" t="s">
        <v>26</v>
      </c>
      <c r="C20" s="39">
        <v>2728</v>
      </c>
      <c r="D20" s="39">
        <v>3083</v>
      </c>
      <c r="E20" s="39">
        <v>3160</v>
      </c>
      <c r="F20" s="39">
        <v>6243</v>
      </c>
      <c r="G20" s="40">
        <v>2.28848973607038</v>
      </c>
      <c r="H20" s="41">
        <v>257</v>
      </c>
      <c r="I20" s="55">
        <v>244</v>
      </c>
      <c r="J20" s="56" t="s">
        <v>27</v>
      </c>
    </row>
    <row r="21" ht="13.5" spans="2:10">
      <c r="B21" s="35" t="s">
        <v>28</v>
      </c>
      <c r="C21" s="6">
        <v>2329</v>
      </c>
      <c r="D21" s="6">
        <v>2864</v>
      </c>
      <c r="E21" s="6">
        <v>2823</v>
      </c>
      <c r="F21" s="11">
        <v>5687</v>
      </c>
      <c r="G21" s="36">
        <v>2.44182052382997</v>
      </c>
      <c r="H21" s="42"/>
      <c r="I21" s="57"/>
      <c r="J21" s="58"/>
    </row>
    <row r="22" ht="13.5" spans="2:10">
      <c r="B22" s="35" t="s">
        <v>29</v>
      </c>
      <c r="C22" s="6">
        <v>2292</v>
      </c>
      <c r="D22" s="6">
        <v>3044</v>
      </c>
      <c r="E22" s="6">
        <v>3048</v>
      </c>
      <c r="F22" s="11">
        <v>6092</v>
      </c>
      <c r="G22" s="36">
        <v>2.65794066317627</v>
      </c>
      <c r="H22" s="37" t="s">
        <v>24</v>
      </c>
      <c r="I22" s="53" t="s">
        <v>24</v>
      </c>
      <c r="J22" s="58"/>
    </row>
    <row r="23" ht="13.5" spans="2:10">
      <c r="B23" s="35" t="s">
        <v>30</v>
      </c>
      <c r="C23" s="6">
        <v>2224</v>
      </c>
      <c r="D23" s="6">
        <v>2824</v>
      </c>
      <c r="E23" s="6">
        <v>2886</v>
      </c>
      <c r="F23" s="11">
        <v>5710</v>
      </c>
      <c r="G23" s="36">
        <v>2.56744604316547</v>
      </c>
      <c r="H23" s="43"/>
      <c r="I23" s="59"/>
      <c r="J23" s="58"/>
    </row>
    <row r="24" spans="2:10">
      <c r="B24" s="44" t="s">
        <v>31</v>
      </c>
      <c r="C24" s="39">
        <v>2120</v>
      </c>
      <c r="D24" s="39">
        <v>2619</v>
      </c>
      <c r="E24" s="39">
        <v>2664</v>
      </c>
      <c r="F24" s="39">
        <v>5283</v>
      </c>
      <c r="G24" s="40">
        <v>2.49198113207547</v>
      </c>
      <c r="H24" s="41">
        <v>348</v>
      </c>
      <c r="I24" s="55">
        <v>255</v>
      </c>
      <c r="J24" s="56" t="s">
        <v>32</v>
      </c>
    </row>
    <row r="25" ht="13.5" spans="2:10">
      <c r="B25" s="45" t="s">
        <v>33</v>
      </c>
      <c r="C25" s="6">
        <v>1755</v>
      </c>
      <c r="D25" s="6">
        <v>2036</v>
      </c>
      <c r="E25" s="6">
        <v>2072</v>
      </c>
      <c r="F25" s="11">
        <v>4108</v>
      </c>
      <c r="G25" s="36">
        <v>2.34074074074074</v>
      </c>
      <c r="H25" s="43"/>
      <c r="I25" s="59"/>
      <c r="J25" s="54" t="s">
        <v>34</v>
      </c>
    </row>
    <row r="26" ht="13.5" spans="2:10">
      <c r="B26" s="45" t="s">
        <v>35</v>
      </c>
      <c r="C26" s="6">
        <v>1744</v>
      </c>
      <c r="D26" s="6">
        <v>1970</v>
      </c>
      <c r="E26" s="6">
        <v>2049</v>
      </c>
      <c r="F26" s="11">
        <v>4019</v>
      </c>
      <c r="G26" s="36">
        <v>2.30447247706422</v>
      </c>
      <c r="H26" s="43"/>
      <c r="I26" s="59"/>
      <c r="J26" s="54" t="s">
        <v>36</v>
      </c>
    </row>
    <row r="27" ht="13.5" spans="2:10">
      <c r="B27" s="45" t="s">
        <v>37</v>
      </c>
      <c r="C27" s="6">
        <v>1402</v>
      </c>
      <c r="D27" s="6">
        <v>1604</v>
      </c>
      <c r="E27" s="6">
        <v>1636</v>
      </c>
      <c r="F27" s="11">
        <v>3240</v>
      </c>
      <c r="G27" s="36">
        <v>2.31098430813124</v>
      </c>
      <c r="H27" s="43"/>
      <c r="I27" s="59"/>
      <c r="J27" s="54" t="s">
        <v>38</v>
      </c>
    </row>
    <row r="28" spans="2:10">
      <c r="B28" s="45" t="s">
        <v>39</v>
      </c>
      <c r="C28" s="6">
        <v>1392</v>
      </c>
      <c r="D28" s="6">
        <v>1527</v>
      </c>
      <c r="E28" s="6">
        <v>1505</v>
      </c>
      <c r="F28" s="6">
        <v>3032</v>
      </c>
      <c r="G28" s="36">
        <v>2.17816091954023</v>
      </c>
      <c r="H28" s="46">
        <v>87</v>
      </c>
      <c r="I28" s="60">
        <v>58</v>
      </c>
      <c r="J28" s="54" t="s">
        <v>40</v>
      </c>
    </row>
    <row r="29" ht="13.5" spans="2:10">
      <c r="B29" s="45" t="s">
        <v>41</v>
      </c>
      <c r="C29" s="6">
        <v>1348</v>
      </c>
      <c r="D29" s="6">
        <v>1527</v>
      </c>
      <c r="E29" s="6">
        <v>1608</v>
      </c>
      <c r="F29" s="11">
        <v>3135</v>
      </c>
      <c r="G29" s="36">
        <v>2.32566765578635</v>
      </c>
      <c r="H29" s="43"/>
      <c r="I29" s="59"/>
      <c r="J29" s="54" t="s">
        <v>42</v>
      </c>
    </row>
    <row r="30" spans="2:10">
      <c r="B30" s="45" t="s">
        <v>43</v>
      </c>
      <c r="C30" s="6">
        <v>1328</v>
      </c>
      <c r="D30" s="6">
        <v>1337</v>
      </c>
      <c r="E30" s="6">
        <v>1231</v>
      </c>
      <c r="F30" s="6">
        <v>2568</v>
      </c>
      <c r="G30" s="36">
        <v>1.93373493975904</v>
      </c>
      <c r="H30" s="46">
        <v>122</v>
      </c>
      <c r="I30" s="60">
        <v>72</v>
      </c>
      <c r="J30" s="54" t="s">
        <v>40</v>
      </c>
    </row>
    <row r="31" ht="13.5" spans="2:10">
      <c r="B31" s="45" t="s">
        <v>44</v>
      </c>
      <c r="C31" s="6">
        <v>1285</v>
      </c>
      <c r="D31" s="6">
        <v>1545</v>
      </c>
      <c r="E31" s="6">
        <v>1640</v>
      </c>
      <c r="F31" s="11">
        <v>3185</v>
      </c>
      <c r="G31" s="36">
        <v>2.47859922178988</v>
      </c>
      <c r="H31" s="43"/>
      <c r="I31" s="59"/>
      <c r="J31" s="54" t="s">
        <v>42</v>
      </c>
    </row>
    <row r="32" ht="13.5" spans="2:10">
      <c r="B32" s="45" t="s">
        <v>45</v>
      </c>
      <c r="C32" s="6">
        <v>1264</v>
      </c>
      <c r="D32" s="6">
        <v>1265</v>
      </c>
      <c r="E32" s="6">
        <v>1343</v>
      </c>
      <c r="F32" s="6">
        <v>2608</v>
      </c>
      <c r="G32" s="36">
        <v>2.06329113924051</v>
      </c>
      <c r="H32" s="43"/>
      <c r="I32" s="59"/>
      <c r="J32" s="54" t="s">
        <v>46</v>
      </c>
    </row>
    <row r="33" ht="13.5" spans="2:10">
      <c r="B33" s="45" t="s">
        <v>47</v>
      </c>
      <c r="C33" s="6">
        <v>1223</v>
      </c>
      <c r="D33" s="6">
        <v>1409</v>
      </c>
      <c r="E33" s="6">
        <v>1434</v>
      </c>
      <c r="F33" s="11">
        <v>2843</v>
      </c>
      <c r="G33" s="36">
        <v>2.32461161079313</v>
      </c>
      <c r="H33" s="43"/>
      <c r="I33" s="59"/>
      <c r="J33" s="54" t="s">
        <v>38</v>
      </c>
    </row>
    <row r="34" ht="14.25" spans="2:10">
      <c r="B34" s="47" t="s">
        <v>48</v>
      </c>
      <c r="C34" s="48">
        <v>1190</v>
      </c>
      <c r="D34" s="48">
        <v>1598</v>
      </c>
      <c r="E34" s="48">
        <v>1654</v>
      </c>
      <c r="F34" s="48">
        <v>3252</v>
      </c>
      <c r="G34" s="49">
        <v>2.7327731092437</v>
      </c>
      <c r="H34" s="50">
        <v>228</v>
      </c>
      <c r="I34" s="61">
        <v>102</v>
      </c>
      <c r="J34" s="62" t="s">
        <v>24</v>
      </c>
    </row>
    <row r="36" spans="1:1">
      <c r="A36" s="28" t="s">
        <v>49</v>
      </c>
    </row>
    <row r="37" spans="2:2">
      <c r="B37" s="28" t="s">
        <v>50</v>
      </c>
    </row>
    <row r="39" spans="2:2">
      <c r="B39" s="63" t="s">
        <v>51</v>
      </c>
    </row>
    <row r="40" spans="2:2">
      <c r="B40" s="63" t="s">
        <v>52</v>
      </c>
    </row>
    <row r="41" spans="2:2">
      <c r="B41" s="63" t="s">
        <v>53</v>
      </c>
    </row>
    <row r="42" spans="2:2">
      <c r="B42" s="63" t="s">
        <v>54</v>
      </c>
    </row>
    <row r="43" spans="2:2">
      <c r="B43" s="63" t="s">
        <v>55</v>
      </c>
    </row>
    <row r="44" spans="2:2">
      <c r="B44" s="63" t="s">
        <v>56</v>
      </c>
    </row>
    <row r="45" spans="2:2">
      <c r="B45" s="63" t="s">
        <v>51</v>
      </c>
    </row>
    <row r="46" spans="2:2">
      <c r="B46" s="28" t="s">
        <v>57</v>
      </c>
    </row>
    <row r="48" spans="2:2">
      <c r="B48" s="28" t="s">
        <v>58</v>
      </c>
    </row>
    <row r="49" spans="2:2">
      <c r="B49" s="28" t="s">
        <v>59</v>
      </c>
    </row>
    <row r="50" spans="2:2">
      <c r="B50" s="28" t="s">
        <v>60</v>
      </c>
    </row>
    <row r="51" spans="2:2">
      <c r="B51" s="28" t="s">
        <v>61</v>
      </c>
    </row>
    <row r="52" spans="2:2">
      <c r="B52" s="28" t="s">
        <v>62</v>
      </c>
    </row>
    <row r="53" spans="2:2">
      <c r="B53" s="28" t="s">
        <v>63</v>
      </c>
    </row>
    <row r="54" spans="2:2">
      <c r="B54" s="28" t="s">
        <v>64</v>
      </c>
    </row>
    <row r="55" spans="2:2">
      <c r="B55" s="28" t="s">
        <v>65</v>
      </c>
    </row>
    <row r="56" spans="2:2">
      <c r="B56" s="28" t="s">
        <v>66</v>
      </c>
    </row>
    <row r="57" spans="2:2">
      <c r="B57" s="28" t="s">
        <v>67</v>
      </c>
    </row>
    <row r="58" spans="2:2">
      <c r="B58" s="28" t="s">
        <v>68</v>
      </c>
    </row>
    <row r="59" spans="2:2">
      <c r="B59" s="28" t="s">
        <v>69</v>
      </c>
    </row>
    <row r="60" spans="2:2">
      <c r="B60" s="28" t="s">
        <v>70</v>
      </c>
    </row>
    <row r="61" spans="2:2">
      <c r="B61" s="28" t="s">
        <v>71</v>
      </c>
    </row>
    <row r="62" spans="2:2">
      <c r="B62" s="28" t="s">
        <v>72</v>
      </c>
    </row>
    <row r="63" spans="2:2">
      <c r="B63" s="28" t="s">
        <v>73</v>
      </c>
    </row>
    <row r="64" spans="2:2">
      <c r="B64" s="28" t="s">
        <v>74</v>
      </c>
    </row>
    <row r="65" spans="2:2">
      <c r="B65" s="28" t="s">
        <v>75</v>
      </c>
    </row>
    <row r="66" spans="2:2">
      <c r="B66" s="28" t="s">
        <v>76</v>
      </c>
    </row>
    <row r="67" spans="2:2">
      <c r="B67" s="28" t="s">
        <v>77</v>
      </c>
    </row>
    <row r="68" spans="2:2">
      <c r="B68" s="28" t="s">
        <v>78</v>
      </c>
    </row>
    <row r="69" spans="2:2">
      <c r="B69" s="28" t="s">
        <v>79</v>
      </c>
    </row>
    <row r="70" spans="2:2">
      <c r="B70" s="28" t="s">
        <v>80</v>
      </c>
    </row>
    <row r="71" spans="2:2">
      <c r="B71" s="28" t="s">
        <v>81</v>
      </c>
    </row>
    <row r="73" spans="2:2">
      <c r="B73" s="28" t="s">
        <v>82</v>
      </c>
    </row>
    <row r="74" spans="2:2">
      <c r="B74" s="28" t="s">
        <v>83</v>
      </c>
    </row>
    <row r="75" spans="2:2">
      <c r="B75" s="28" t="s">
        <v>84</v>
      </c>
    </row>
    <row r="76" spans="2:2">
      <c r="B76" s="28" t="s">
        <v>85</v>
      </c>
    </row>
    <row r="77" spans="2:2">
      <c r="B77" s="28" t="s">
        <v>86</v>
      </c>
    </row>
    <row r="78" spans="2:2">
      <c r="B78" s="28" t="s">
        <v>87</v>
      </c>
    </row>
    <row r="79" spans="2:2">
      <c r="B79" s="28" t="s">
        <v>88</v>
      </c>
    </row>
    <row r="80" spans="2:2">
      <c r="B80" s="28" t="s">
        <v>89</v>
      </c>
    </row>
    <row r="81" spans="2:2">
      <c r="B81" s="28" t="s">
        <v>90</v>
      </c>
    </row>
    <row r="82" spans="2:2">
      <c r="B82" s="28" t="s">
        <v>91</v>
      </c>
    </row>
    <row r="83" spans="2:2">
      <c r="B83" s="28" t="s">
        <v>92</v>
      </c>
    </row>
    <row r="84" spans="2:2">
      <c r="B84" s="28" t="s">
        <v>93</v>
      </c>
    </row>
    <row r="85" spans="2:2">
      <c r="B85" s="28" t="s">
        <v>94</v>
      </c>
    </row>
    <row r="86" spans="2:2">
      <c r="B86" s="28" t="s">
        <v>95</v>
      </c>
    </row>
    <row r="87" spans="2:2">
      <c r="B87" s="28" t="s">
        <v>96</v>
      </c>
    </row>
    <row r="88" spans="2:2">
      <c r="B88" s="28" t="s">
        <v>97</v>
      </c>
    </row>
    <row r="89" spans="2:2">
      <c r="B89" s="28" t="s">
        <v>98</v>
      </c>
    </row>
    <row r="90" spans="2:2">
      <c r="B90" s="28" t="s">
        <v>99</v>
      </c>
    </row>
    <row r="91" spans="2:2">
      <c r="B91" s="28" t="s">
        <v>100</v>
      </c>
    </row>
    <row r="92" spans="2:2">
      <c r="B92" s="28" t="s">
        <v>101</v>
      </c>
    </row>
    <row r="93" spans="2:2">
      <c r="B93" s="28" t="s">
        <v>102</v>
      </c>
    </row>
    <row r="94" spans="2:2">
      <c r="B94" s="28" t="s">
        <v>103</v>
      </c>
    </row>
    <row r="95" spans="2:2">
      <c r="B95" s="28" t="s">
        <v>104</v>
      </c>
    </row>
    <row r="96" spans="2:2">
      <c r="B96" s="28" t="s">
        <v>105</v>
      </c>
    </row>
    <row r="97" spans="2:2">
      <c r="B97" s="28" t="s">
        <v>106</v>
      </c>
    </row>
    <row r="98" spans="2:2">
      <c r="B98" s="28" t="s">
        <v>107</v>
      </c>
    </row>
    <row r="99" spans="2:2">
      <c r="B99" s="28" t="s">
        <v>108</v>
      </c>
    </row>
    <row r="100" spans="2:2">
      <c r="B100" s="28" t="s">
        <v>109</v>
      </c>
    </row>
    <row r="101" spans="2:2">
      <c r="B101" s="28" t="s">
        <v>110</v>
      </c>
    </row>
    <row r="102" spans="2:2">
      <c r="B102" s="28" t="s">
        <v>111</v>
      </c>
    </row>
    <row r="103" spans="2:2">
      <c r="B103" s="28" t="s">
        <v>112</v>
      </c>
    </row>
    <row r="104" spans="2:2">
      <c r="B104" s="28" t="s">
        <v>113</v>
      </c>
    </row>
    <row r="105" spans="2:2">
      <c r="B105" s="28" t="s">
        <v>114</v>
      </c>
    </row>
    <row r="106" spans="2:2">
      <c r="B106" s="28" t="s">
        <v>115</v>
      </c>
    </row>
    <row r="107" spans="2:2">
      <c r="B107" s="28" t="s">
        <v>116</v>
      </c>
    </row>
    <row r="108" spans="2:2">
      <c r="B108" s="28" t="s">
        <v>117</v>
      </c>
    </row>
    <row r="109" spans="2:2">
      <c r="B109" s="28" t="s">
        <v>118</v>
      </c>
    </row>
    <row r="110" spans="2:2">
      <c r="B110" s="28" t="s">
        <v>119</v>
      </c>
    </row>
    <row r="111" spans="2:2">
      <c r="B111" s="28" t="s">
        <v>120</v>
      </c>
    </row>
    <row r="112" spans="2:2">
      <c r="B112" s="28" t="s">
        <v>121</v>
      </c>
    </row>
    <row r="113" spans="2:2">
      <c r="B113" s="28" t="s">
        <v>122</v>
      </c>
    </row>
    <row r="114" spans="2:2">
      <c r="B114" s="28" t="s">
        <v>123</v>
      </c>
    </row>
    <row r="115" spans="2:2">
      <c r="B115" s="28" t="s">
        <v>124</v>
      </c>
    </row>
    <row r="116" spans="2:2">
      <c r="B116" s="28" t="s">
        <v>125</v>
      </c>
    </row>
    <row r="117" spans="2:2">
      <c r="B117" s="28" t="s">
        <v>126</v>
      </c>
    </row>
    <row r="118" spans="2:2">
      <c r="B118" s="28" t="s">
        <v>127</v>
      </c>
    </row>
    <row r="119" spans="2:2">
      <c r="B119" s="28" t="s">
        <v>104</v>
      </c>
    </row>
    <row r="120" spans="2:2">
      <c r="B120" s="28" t="s">
        <v>128</v>
      </c>
    </row>
    <row r="121" spans="2:2">
      <c r="B121" s="28" t="s">
        <v>129</v>
      </c>
    </row>
    <row r="122" spans="2:2">
      <c r="B122" s="28" t="s">
        <v>130</v>
      </c>
    </row>
    <row r="123" spans="2:2">
      <c r="B123" s="28" t="s">
        <v>131</v>
      </c>
    </row>
    <row r="124" spans="2:2">
      <c r="B124" s="28" t="s">
        <v>132</v>
      </c>
    </row>
    <row r="125" spans="2:2">
      <c r="B125" s="28" t="s">
        <v>133</v>
      </c>
    </row>
    <row r="126" spans="2:2">
      <c r="B126" s="28" t="s">
        <v>134</v>
      </c>
    </row>
    <row r="127" spans="2:2">
      <c r="B127" s="28" t="s">
        <v>135</v>
      </c>
    </row>
    <row r="128" spans="2:2">
      <c r="B128" s="28" t="s">
        <v>136</v>
      </c>
    </row>
    <row r="129" spans="2:2">
      <c r="B129" s="28" t="s">
        <v>124</v>
      </c>
    </row>
    <row r="130" spans="2:2">
      <c r="B130" s="28" t="s">
        <v>125</v>
      </c>
    </row>
    <row r="131" spans="2:2">
      <c r="B131" s="28" t="s">
        <v>137</v>
      </c>
    </row>
    <row r="132" spans="2:2">
      <c r="B132" s="28" t="s">
        <v>104</v>
      </c>
    </row>
    <row r="133" spans="2:2">
      <c r="B133" s="28" t="s">
        <v>138</v>
      </c>
    </row>
    <row r="134" spans="2:2">
      <c r="B134" s="28" t="s">
        <v>139</v>
      </c>
    </row>
    <row r="135" spans="2:2">
      <c r="B135" s="28" t="s">
        <v>140</v>
      </c>
    </row>
    <row r="136" spans="2:2">
      <c r="B136" s="28" t="s">
        <v>141</v>
      </c>
    </row>
    <row r="137" spans="2:2">
      <c r="B137" s="28" t="s">
        <v>142</v>
      </c>
    </row>
    <row r="138" spans="2:2">
      <c r="B138" s="28" t="s">
        <v>143</v>
      </c>
    </row>
    <row r="139" spans="2:2">
      <c r="B139" s="28" t="s">
        <v>144</v>
      </c>
    </row>
    <row r="140" spans="2:2">
      <c r="B140" s="28" t="s">
        <v>145</v>
      </c>
    </row>
    <row r="141" spans="2:2">
      <c r="B141" s="28" t="s">
        <v>146</v>
      </c>
    </row>
    <row r="142" spans="2:2">
      <c r="B142" s="28" t="s">
        <v>82</v>
      </c>
    </row>
    <row r="143" spans="2:2">
      <c r="B143" s="28" t="s">
        <v>147</v>
      </c>
    </row>
    <row r="144" spans="2:2">
      <c r="B144" s="28" t="s">
        <v>148</v>
      </c>
    </row>
    <row r="145" spans="2:2">
      <c r="B145" s="28" t="s">
        <v>146</v>
      </c>
    </row>
    <row r="147" spans="2:2">
      <c r="B147" s="28" t="s">
        <v>149</v>
      </c>
    </row>
    <row r="148" spans="2:2">
      <c r="B148" s="28" t="s">
        <v>150</v>
      </c>
    </row>
    <row r="149" spans="2:2">
      <c r="B149" s="28" t="s">
        <v>146</v>
      </c>
    </row>
    <row r="151" spans="2:2">
      <c r="B151" s="28" t="s">
        <v>151</v>
      </c>
    </row>
    <row r="153" spans="2:2">
      <c r="B153" s="28" t="s">
        <v>146</v>
      </c>
    </row>
  </sheetData>
  <hyperlinks>
    <hyperlink ref="B7" r:id="rId2" display="http://www.city.nagareyama.chiba.jp/information/1008422/1008423/1008461.html" tooltip="http://www.city.nagareyama.chiba.jp/information/1008422/1008423/1008461.html"/>
  </hyperlinks>
  <pageMargins left="0.75" right="0.75" top="1" bottom="1" header="0.5" footer="0.5"/>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2"/>
  </sheetPr>
  <dimension ref="A1:I122"/>
  <sheetViews>
    <sheetView workbookViewId="0">
      <selection activeCell="H17" sqref="H17"/>
    </sheetView>
  </sheetViews>
  <sheetFormatPr defaultColWidth="9" defaultRowHeight="12"/>
  <cols>
    <col min="1" max="1" width="14.25" style="18" customWidth="1"/>
    <col min="2" max="16384" width="9" style="17"/>
  </cols>
  <sheetData>
    <row r="1" spans="1:9">
      <c r="A1" s="2" t="s">
        <v>14</v>
      </c>
      <c r="B1" s="2" t="s">
        <v>15</v>
      </c>
      <c r="C1" s="2" t="s">
        <v>16</v>
      </c>
      <c r="D1" s="2" t="s">
        <v>17</v>
      </c>
      <c r="E1" s="2" t="s">
        <v>18</v>
      </c>
      <c r="F1" s="3" t="s">
        <v>19</v>
      </c>
      <c r="G1" s="26"/>
      <c r="H1" s="27"/>
      <c r="I1" s="26"/>
    </row>
    <row r="2" spans="1:9">
      <c r="A2" s="5" t="s">
        <v>152</v>
      </c>
      <c r="B2" s="6">
        <v>5879</v>
      </c>
      <c r="C2" s="6">
        <v>6871</v>
      </c>
      <c r="D2" s="6">
        <v>6858</v>
      </c>
      <c r="E2" s="6">
        <v>13729</v>
      </c>
      <c r="F2" s="7">
        <v>2.33526109882633</v>
      </c>
      <c r="G2" s="26"/>
      <c r="H2" s="26"/>
      <c r="I2" s="26"/>
    </row>
    <row r="3" spans="1:9">
      <c r="A3" s="9" t="s">
        <v>153</v>
      </c>
      <c r="B3" s="6">
        <v>2728</v>
      </c>
      <c r="C3" s="6">
        <v>3083</v>
      </c>
      <c r="D3" s="6">
        <v>3160</v>
      </c>
      <c r="E3" s="6">
        <v>6243</v>
      </c>
      <c r="F3" s="7">
        <v>2.28848973607038</v>
      </c>
      <c r="G3" s="26"/>
      <c r="H3" s="26"/>
      <c r="I3" s="26"/>
    </row>
    <row r="4" spans="1:9">
      <c r="A4" s="5" t="s">
        <v>28</v>
      </c>
      <c r="B4" s="6">
        <v>2329</v>
      </c>
      <c r="C4" s="6">
        <v>2864</v>
      </c>
      <c r="D4" s="6">
        <v>2823</v>
      </c>
      <c r="E4" s="11">
        <v>5687</v>
      </c>
      <c r="F4" s="7">
        <v>2.44182052382997</v>
      </c>
      <c r="G4" s="26"/>
      <c r="H4" s="26"/>
      <c r="I4" s="26"/>
    </row>
    <row r="5" spans="1:9">
      <c r="A5" s="5" t="s">
        <v>29</v>
      </c>
      <c r="B5" s="6">
        <v>2292</v>
      </c>
      <c r="C5" s="6">
        <v>3044</v>
      </c>
      <c r="D5" s="6">
        <v>3048</v>
      </c>
      <c r="E5" s="11">
        <v>6092</v>
      </c>
      <c r="F5" s="7">
        <v>2.65794066317627</v>
      </c>
      <c r="G5" s="26"/>
      <c r="H5" s="26"/>
      <c r="I5" s="26"/>
    </row>
    <row r="6" spans="1:9">
      <c r="A6" s="5" t="s">
        <v>30</v>
      </c>
      <c r="B6" s="6">
        <v>2224</v>
      </c>
      <c r="C6" s="6">
        <v>2824</v>
      </c>
      <c r="D6" s="6">
        <v>2886</v>
      </c>
      <c r="E6" s="11">
        <v>5710</v>
      </c>
      <c r="F6" s="7">
        <v>2.56744604316547</v>
      </c>
      <c r="G6" s="26"/>
      <c r="H6" s="26"/>
      <c r="I6" s="26"/>
    </row>
    <row r="7" spans="1:9">
      <c r="A7" s="5" t="s">
        <v>154</v>
      </c>
      <c r="B7" s="6">
        <v>2120</v>
      </c>
      <c r="C7" s="6">
        <v>2619</v>
      </c>
      <c r="D7" s="6">
        <v>2664</v>
      </c>
      <c r="E7" s="6">
        <v>5283</v>
      </c>
      <c r="F7" s="7">
        <v>2.49198113207547</v>
      </c>
      <c r="G7" s="26"/>
      <c r="H7" s="26"/>
      <c r="I7" s="26"/>
    </row>
    <row r="8" spans="1:9">
      <c r="A8" s="12" t="s">
        <v>33</v>
      </c>
      <c r="B8" s="6">
        <v>1755</v>
      </c>
      <c r="C8" s="6">
        <v>2036</v>
      </c>
      <c r="D8" s="6">
        <v>2072</v>
      </c>
      <c r="E8" s="11">
        <v>4108</v>
      </c>
      <c r="F8" s="7">
        <v>2.34074074074074</v>
      </c>
      <c r="G8" s="26"/>
      <c r="H8" s="26"/>
      <c r="I8" s="26"/>
    </row>
    <row r="9" spans="1:9">
      <c r="A9" s="12" t="s">
        <v>35</v>
      </c>
      <c r="B9" s="6">
        <v>1744</v>
      </c>
      <c r="C9" s="6">
        <v>1970</v>
      </c>
      <c r="D9" s="6">
        <v>2049</v>
      </c>
      <c r="E9" s="11">
        <v>4019</v>
      </c>
      <c r="F9" s="7">
        <v>2.30447247706422</v>
      </c>
      <c r="G9" s="26"/>
      <c r="H9" s="26"/>
      <c r="I9" s="26"/>
    </row>
    <row r="10" spans="1:9">
      <c r="A10" s="12" t="s">
        <v>37</v>
      </c>
      <c r="B10" s="6">
        <v>1402</v>
      </c>
      <c r="C10" s="6">
        <v>1604</v>
      </c>
      <c r="D10" s="6">
        <v>1636</v>
      </c>
      <c r="E10" s="11">
        <v>3240</v>
      </c>
      <c r="F10" s="7">
        <v>2.31098430813124</v>
      </c>
      <c r="G10" s="26"/>
      <c r="H10" s="26"/>
      <c r="I10" s="26"/>
    </row>
    <row r="11" spans="1:9">
      <c r="A11" s="12" t="s">
        <v>39</v>
      </c>
      <c r="B11" s="6">
        <v>1392</v>
      </c>
      <c r="C11" s="6">
        <v>1527</v>
      </c>
      <c r="D11" s="6">
        <v>1505</v>
      </c>
      <c r="E11" s="6">
        <v>3032</v>
      </c>
      <c r="F11" s="7">
        <v>2.17816091954023</v>
      </c>
      <c r="G11" s="26"/>
      <c r="H11" s="26"/>
      <c r="I11" s="26"/>
    </row>
    <row r="12" spans="1:9">
      <c r="A12" s="12" t="s">
        <v>41</v>
      </c>
      <c r="B12" s="6">
        <v>1348</v>
      </c>
      <c r="C12" s="6">
        <v>1527</v>
      </c>
      <c r="D12" s="6">
        <v>1608</v>
      </c>
      <c r="E12" s="11">
        <v>3135</v>
      </c>
      <c r="F12" s="7">
        <v>2.32566765578635</v>
      </c>
      <c r="G12" s="26"/>
      <c r="H12" s="26"/>
      <c r="I12" s="26"/>
    </row>
    <row r="13" spans="1:9">
      <c r="A13" s="12" t="s">
        <v>43</v>
      </c>
      <c r="B13" s="6">
        <v>1328</v>
      </c>
      <c r="C13" s="6">
        <v>1337</v>
      </c>
      <c r="D13" s="6">
        <v>1231</v>
      </c>
      <c r="E13" s="6">
        <v>2568</v>
      </c>
      <c r="F13" s="7">
        <v>1.93373493975904</v>
      </c>
      <c r="G13" s="26"/>
      <c r="H13" s="26"/>
      <c r="I13" s="26"/>
    </row>
    <row r="14" spans="1:9">
      <c r="A14" s="12" t="s">
        <v>44</v>
      </c>
      <c r="B14" s="6">
        <v>1285</v>
      </c>
      <c r="C14" s="6">
        <v>1545</v>
      </c>
      <c r="D14" s="6">
        <v>1640</v>
      </c>
      <c r="E14" s="11">
        <v>3185</v>
      </c>
      <c r="F14" s="7">
        <v>2.47859922178988</v>
      </c>
      <c r="G14" s="26"/>
      <c r="H14" s="26"/>
      <c r="I14" s="26"/>
    </row>
    <row r="15" spans="1:9">
      <c r="A15" s="12" t="s">
        <v>155</v>
      </c>
      <c r="B15" s="6">
        <v>1264</v>
      </c>
      <c r="C15" s="6">
        <v>1265</v>
      </c>
      <c r="D15" s="6">
        <v>1343</v>
      </c>
      <c r="E15" s="6">
        <v>2608</v>
      </c>
      <c r="F15" s="7">
        <v>2.06329113924051</v>
      </c>
      <c r="G15" s="26"/>
      <c r="H15" s="26"/>
      <c r="I15" s="26"/>
    </row>
    <row r="16" spans="1:9">
      <c r="A16" s="12" t="s">
        <v>47</v>
      </c>
      <c r="B16" s="6">
        <v>1223</v>
      </c>
      <c r="C16" s="6">
        <v>1409</v>
      </c>
      <c r="D16" s="6">
        <v>1434</v>
      </c>
      <c r="E16" s="11">
        <v>2843</v>
      </c>
      <c r="F16" s="7">
        <v>2.32461161079313</v>
      </c>
      <c r="G16" s="26"/>
      <c r="H16" s="26"/>
      <c r="I16" s="26"/>
    </row>
    <row r="17" spans="1:9">
      <c r="A17" s="13" t="s">
        <v>156</v>
      </c>
      <c r="B17" s="6">
        <v>1190</v>
      </c>
      <c r="C17" s="6">
        <v>1598</v>
      </c>
      <c r="D17" s="6">
        <v>1654</v>
      </c>
      <c r="E17" s="6">
        <v>3252</v>
      </c>
      <c r="F17" s="7">
        <v>2.7327731092437</v>
      </c>
      <c r="G17" s="26"/>
      <c r="H17" s="26"/>
      <c r="I17" s="26"/>
    </row>
    <row r="18" spans="1:9">
      <c r="A18" s="12" t="s">
        <v>157</v>
      </c>
      <c r="B18" s="6">
        <v>1143</v>
      </c>
      <c r="C18" s="6">
        <v>1242</v>
      </c>
      <c r="D18" s="6">
        <v>1217</v>
      </c>
      <c r="E18" s="11">
        <v>2459</v>
      </c>
      <c r="F18" s="7">
        <v>2.15135608048994</v>
      </c>
      <c r="G18" s="26"/>
      <c r="H18" s="26"/>
      <c r="I18" s="26"/>
    </row>
    <row r="19" spans="1:9">
      <c r="A19" s="12" t="s">
        <v>158</v>
      </c>
      <c r="B19" s="6">
        <v>1139</v>
      </c>
      <c r="C19" s="6">
        <v>1163</v>
      </c>
      <c r="D19" s="6">
        <v>1280</v>
      </c>
      <c r="E19" s="11">
        <v>2443</v>
      </c>
      <c r="F19" s="7">
        <v>2.14486391571554</v>
      </c>
      <c r="G19" s="26"/>
      <c r="H19" s="26"/>
      <c r="I19" s="26"/>
    </row>
    <row r="20" spans="1:9">
      <c r="A20" s="12" t="s">
        <v>159</v>
      </c>
      <c r="B20" s="6">
        <v>1077</v>
      </c>
      <c r="C20" s="6">
        <v>1209</v>
      </c>
      <c r="D20" s="6">
        <v>1218</v>
      </c>
      <c r="E20" s="11">
        <v>2427</v>
      </c>
      <c r="F20" s="7">
        <v>2.25348189415042</v>
      </c>
      <c r="G20" s="26"/>
      <c r="H20" s="26"/>
      <c r="I20" s="26"/>
    </row>
    <row r="21" spans="1:9">
      <c r="A21" s="12" t="s">
        <v>160</v>
      </c>
      <c r="B21" s="6">
        <v>1076</v>
      </c>
      <c r="C21" s="6">
        <v>1289</v>
      </c>
      <c r="D21" s="6">
        <v>1251</v>
      </c>
      <c r="E21" s="6">
        <v>2540</v>
      </c>
      <c r="F21" s="7">
        <v>2.36059479553903</v>
      </c>
      <c r="G21" s="26"/>
      <c r="H21" s="26"/>
      <c r="I21" s="26"/>
    </row>
    <row r="22" spans="1:9">
      <c r="A22" s="12" t="s">
        <v>161</v>
      </c>
      <c r="B22" s="6">
        <v>1071</v>
      </c>
      <c r="C22" s="6">
        <v>1256</v>
      </c>
      <c r="D22" s="6">
        <v>1316</v>
      </c>
      <c r="E22" s="11">
        <v>2572</v>
      </c>
      <c r="F22" s="7">
        <v>2.4014939309057</v>
      </c>
      <c r="G22" s="26"/>
      <c r="H22" s="26"/>
      <c r="I22" s="26"/>
    </row>
    <row r="23" spans="1:9">
      <c r="A23" s="12" t="s">
        <v>162</v>
      </c>
      <c r="B23" s="6">
        <v>1070</v>
      </c>
      <c r="C23" s="6">
        <v>1069</v>
      </c>
      <c r="D23" s="6">
        <v>982</v>
      </c>
      <c r="E23" s="6">
        <v>2051</v>
      </c>
      <c r="F23" s="7">
        <v>1.91682242990654</v>
      </c>
      <c r="G23" s="26"/>
      <c r="H23" s="26"/>
      <c r="I23" s="26"/>
    </row>
    <row r="24" spans="1:9">
      <c r="A24" s="12" t="s">
        <v>163</v>
      </c>
      <c r="B24" s="6">
        <v>1068</v>
      </c>
      <c r="C24" s="6">
        <v>1220</v>
      </c>
      <c r="D24" s="6">
        <v>1244</v>
      </c>
      <c r="E24" s="11">
        <v>2464</v>
      </c>
      <c r="F24" s="7">
        <v>2.30711610486891</v>
      </c>
      <c r="G24" s="26"/>
      <c r="H24" s="26"/>
      <c r="I24" s="26"/>
    </row>
    <row r="25" spans="1:9">
      <c r="A25" s="12" t="s">
        <v>164</v>
      </c>
      <c r="B25" s="6">
        <v>1063</v>
      </c>
      <c r="C25" s="6">
        <v>1258</v>
      </c>
      <c r="D25" s="6">
        <v>1238</v>
      </c>
      <c r="E25" s="6">
        <v>2496</v>
      </c>
      <c r="F25" s="7">
        <v>2.3480714957667</v>
      </c>
      <c r="G25" s="26"/>
      <c r="H25" s="26"/>
      <c r="I25" s="26"/>
    </row>
    <row r="26" spans="1:9">
      <c r="A26" s="12" t="s">
        <v>165</v>
      </c>
      <c r="B26" s="6">
        <v>1062</v>
      </c>
      <c r="C26" s="6">
        <v>1300</v>
      </c>
      <c r="D26" s="6">
        <v>1325</v>
      </c>
      <c r="E26" s="11">
        <v>2625</v>
      </c>
      <c r="F26" s="7">
        <v>2.47175141242938</v>
      </c>
      <c r="G26" s="26"/>
      <c r="H26" s="26"/>
      <c r="I26" s="26"/>
    </row>
    <row r="27" spans="1:9">
      <c r="A27" s="12" t="s">
        <v>166</v>
      </c>
      <c r="B27" s="6">
        <v>1034</v>
      </c>
      <c r="C27" s="6">
        <v>1250</v>
      </c>
      <c r="D27" s="6">
        <v>1288</v>
      </c>
      <c r="E27" s="11">
        <v>2538</v>
      </c>
      <c r="F27" s="7">
        <v>2.45454545454545</v>
      </c>
      <c r="G27" s="26"/>
      <c r="H27" s="26"/>
      <c r="I27" s="26"/>
    </row>
    <row r="28" spans="1:9">
      <c r="A28" s="12" t="s">
        <v>167</v>
      </c>
      <c r="B28" s="6">
        <v>1023</v>
      </c>
      <c r="C28" s="6">
        <v>1272</v>
      </c>
      <c r="D28" s="6">
        <v>1228</v>
      </c>
      <c r="E28" s="11">
        <v>2500</v>
      </c>
      <c r="F28" s="7">
        <v>2.44379276637341</v>
      </c>
      <c r="G28" s="26"/>
      <c r="H28" s="26"/>
      <c r="I28" s="26"/>
    </row>
    <row r="29" spans="1:9">
      <c r="A29" s="12" t="s">
        <v>168</v>
      </c>
      <c r="B29" s="6">
        <v>972</v>
      </c>
      <c r="C29" s="6">
        <v>1052</v>
      </c>
      <c r="D29" s="6">
        <v>1122</v>
      </c>
      <c r="E29" s="11">
        <v>2174</v>
      </c>
      <c r="F29" s="7">
        <v>2.23662551440329</v>
      </c>
      <c r="G29" s="26"/>
      <c r="H29" s="26"/>
      <c r="I29" s="26"/>
    </row>
    <row r="30" spans="1:9">
      <c r="A30" s="12" t="s">
        <v>169</v>
      </c>
      <c r="B30" s="6">
        <v>918</v>
      </c>
      <c r="C30" s="6">
        <v>976</v>
      </c>
      <c r="D30" s="6">
        <v>1049</v>
      </c>
      <c r="E30" s="11">
        <v>2025</v>
      </c>
      <c r="F30" s="7">
        <v>2.20588235294118</v>
      </c>
      <c r="G30" s="26"/>
      <c r="H30" s="26"/>
      <c r="I30" s="26"/>
    </row>
    <row r="31" spans="1:9">
      <c r="A31" s="12" t="s">
        <v>170</v>
      </c>
      <c r="B31" s="6">
        <v>909</v>
      </c>
      <c r="C31" s="6">
        <v>1030</v>
      </c>
      <c r="D31" s="6">
        <v>1080</v>
      </c>
      <c r="E31" s="11">
        <v>2110</v>
      </c>
      <c r="F31" s="7">
        <v>2.32123212321232</v>
      </c>
      <c r="G31" s="26"/>
      <c r="H31" s="26"/>
      <c r="I31" s="26"/>
    </row>
    <row r="32" spans="1:9">
      <c r="A32" s="12" t="s">
        <v>171</v>
      </c>
      <c r="B32" s="6">
        <v>886</v>
      </c>
      <c r="C32" s="6">
        <v>1055</v>
      </c>
      <c r="D32" s="6">
        <v>1006</v>
      </c>
      <c r="E32" s="11">
        <v>2061</v>
      </c>
      <c r="F32" s="7">
        <v>2.32618510158014</v>
      </c>
      <c r="G32" s="26"/>
      <c r="H32" s="26"/>
      <c r="I32" s="26"/>
    </row>
    <row r="33" spans="1:9">
      <c r="A33" s="12" t="s">
        <v>172</v>
      </c>
      <c r="B33" s="6">
        <v>881</v>
      </c>
      <c r="C33" s="6">
        <v>858</v>
      </c>
      <c r="D33" s="6">
        <v>826</v>
      </c>
      <c r="E33" s="6">
        <v>1684</v>
      </c>
      <c r="F33" s="7">
        <v>1.91146424517594</v>
      </c>
      <c r="G33" s="26"/>
      <c r="H33" s="26"/>
      <c r="I33" s="26"/>
    </row>
    <row r="34" spans="1:6">
      <c r="A34" s="12" t="s">
        <v>173</v>
      </c>
      <c r="B34" s="6">
        <v>803</v>
      </c>
      <c r="C34" s="6">
        <v>935</v>
      </c>
      <c r="D34" s="6">
        <v>1010</v>
      </c>
      <c r="E34" s="6">
        <v>1945</v>
      </c>
      <c r="F34" s="7">
        <v>2.42216687422167</v>
      </c>
    </row>
    <row r="35" spans="1:6">
      <c r="A35" s="12" t="s">
        <v>174</v>
      </c>
      <c r="B35" s="6">
        <v>770</v>
      </c>
      <c r="C35" s="6">
        <v>749</v>
      </c>
      <c r="D35" s="6">
        <v>760</v>
      </c>
      <c r="E35" s="6">
        <v>1509</v>
      </c>
      <c r="F35" s="7">
        <v>1.95974025974026</v>
      </c>
    </row>
    <row r="36" spans="1:6">
      <c r="A36" s="12" t="s">
        <v>175</v>
      </c>
      <c r="B36" s="6">
        <v>769</v>
      </c>
      <c r="C36" s="6">
        <v>965</v>
      </c>
      <c r="D36" s="6">
        <v>972</v>
      </c>
      <c r="E36" s="6">
        <v>1937</v>
      </c>
      <c r="F36" s="7">
        <v>2.51885565669701</v>
      </c>
    </row>
    <row r="37" spans="1:6">
      <c r="A37" s="12" t="s">
        <v>176</v>
      </c>
      <c r="B37" s="6">
        <v>768</v>
      </c>
      <c r="C37" s="6">
        <v>901</v>
      </c>
      <c r="D37" s="6">
        <v>938</v>
      </c>
      <c r="E37" s="11">
        <v>1839</v>
      </c>
      <c r="F37" s="7">
        <v>2.39453125</v>
      </c>
    </row>
    <row r="38" spans="1:6">
      <c r="A38" s="12" t="s">
        <v>177</v>
      </c>
      <c r="B38" s="6">
        <v>756</v>
      </c>
      <c r="C38" s="6">
        <v>884</v>
      </c>
      <c r="D38" s="6">
        <v>919</v>
      </c>
      <c r="E38" s="6">
        <v>1803</v>
      </c>
      <c r="F38" s="7">
        <v>2.38492063492063</v>
      </c>
    </row>
    <row r="39" spans="1:6">
      <c r="A39" s="12" t="s">
        <v>178</v>
      </c>
      <c r="B39" s="6">
        <v>751</v>
      </c>
      <c r="C39" s="6">
        <v>803</v>
      </c>
      <c r="D39" s="6">
        <v>859</v>
      </c>
      <c r="E39" s="11">
        <v>1662</v>
      </c>
      <c r="F39" s="7">
        <v>2.21304926764314</v>
      </c>
    </row>
    <row r="40" spans="1:6">
      <c r="A40" s="12" t="s">
        <v>179</v>
      </c>
      <c r="B40" s="6">
        <v>741</v>
      </c>
      <c r="C40" s="6">
        <v>875</v>
      </c>
      <c r="D40" s="6">
        <v>884</v>
      </c>
      <c r="E40" s="11">
        <v>1759</v>
      </c>
      <c r="F40" s="7">
        <v>2.37381916329285</v>
      </c>
    </row>
    <row r="41" spans="1:6">
      <c r="A41" s="12" t="s">
        <v>180</v>
      </c>
      <c r="B41" s="6">
        <v>712</v>
      </c>
      <c r="C41" s="6">
        <v>838</v>
      </c>
      <c r="D41" s="6">
        <v>851</v>
      </c>
      <c r="E41" s="11">
        <v>1689</v>
      </c>
      <c r="F41" s="7">
        <v>2.37219101123596</v>
      </c>
    </row>
    <row r="42" spans="1:6">
      <c r="A42" s="12" t="s">
        <v>181</v>
      </c>
      <c r="B42" s="6">
        <v>685</v>
      </c>
      <c r="C42" s="6">
        <v>778</v>
      </c>
      <c r="D42" s="6">
        <v>826</v>
      </c>
      <c r="E42" s="6">
        <v>1604</v>
      </c>
      <c r="F42" s="7">
        <v>2.34160583941606</v>
      </c>
    </row>
    <row r="43" spans="1:6">
      <c r="A43" s="12" t="s">
        <v>182</v>
      </c>
      <c r="B43" s="6">
        <v>663</v>
      </c>
      <c r="C43" s="6">
        <v>723</v>
      </c>
      <c r="D43" s="6">
        <v>768</v>
      </c>
      <c r="E43" s="11">
        <v>1491</v>
      </c>
      <c r="F43" s="7">
        <v>2.24886877828054</v>
      </c>
    </row>
    <row r="44" spans="1:6">
      <c r="A44" s="12" t="s">
        <v>183</v>
      </c>
      <c r="B44" s="6">
        <v>654</v>
      </c>
      <c r="C44" s="6">
        <v>696</v>
      </c>
      <c r="D44" s="6">
        <v>708</v>
      </c>
      <c r="E44" s="11">
        <v>1404</v>
      </c>
      <c r="F44" s="7">
        <v>2.14678899082569</v>
      </c>
    </row>
    <row r="45" spans="1:6">
      <c r="A45" s="12" t="s">
        <v>184</v>
      </c>
      <c r="B45" s="6">
        <v>621</v>
      </c>
      <c r="C45" s="6">
        <v>593</v>
      </c>
      <c r="D45" s="6">
        <v>684</v>
      </c>
      <c r="E45" s="11">
        <v>1277</v>
      </c>
      <c r="F45" s="7">
        <v>2.05636070853462</v>
      </c>
    </row>
    <row r="46" spans="1:6">
      <c r="A46" s="12" t="s">
        <v>185</v>
      </c>
      <c r="B46" s="6">
        <v>612</v>
      </c>
      <c r="C46" s="6">
        <v>781</v>
      </c>
      <c r="D46" s="6">
        <v>796</v>
      </c>
      <c r="E46" s="11">
        <v>1577</v>
      </c>
      <c r="F46" s="7">
        <v>2.57679738562092</v>
      </c>
    </row>
    <row r="47" spans="1:6">
      <c r="A47" s="12" t="s">
        <v>186</v>
      </c>
      <c r="B47" s="6">
        <v>547</v>
      </c>
      <c r="C47" s="6">
        <v>528</v>
      </c>
      <c r="D47" s="6">
        <v>605</v>
      </c>
      <c r="E47" s="11">
        <v>1133</v>
      </c>
      <c r="F47" s="7">
        <v>2.07129798903108</v>
      </c>
    </row>
    <row r="48" spans="1:6">
      <c r="A48" s="12" t="s">
        <v>187</v>
      </c>
      <c r="B48" s="6">
        <v>546</v>
      </c>
      <c r="C48" s="6">
        <v>598</v>
      </c>
      <c r="D48" s="6">
        <v>672</v>
      </c>
      <c r="E48" s="11">
        <v>1270</v>
      </c>
      <c r="F48" s="7">
        <v>2.32600732600733</v>
      </c>
    </row>
    <row r="49" spans="1:6">
      <c r="A49" s="12" t="s">
        <v>188</v>
      </c>
      <c r="B49" s="6">
        <v>534</v>
      </c>
      <c r="C49" s="6">
        <v>634</v>
      </c>
      <c r="D49" s="6">
        <v>614</v>
      </c>
      <c r="E49" s="6">
        <v>1248</v>
      </c>
      <c r="F49" s="7">
        <v>2.33707865168539</v>
      </c>
    </row>
    <row r="50" spans="1:6">
      <c r="A50" s="12" t="s">
        <v>189</v>
      </c>
      <c r="B50" s="6">
        <v>522</v>
      </c>
      <c r="C50" s="6">
        <v>541</v>
      </c>
      <c r="D50" s="6">
        <v>488</v>
      </c>
      <c r="E50" s="6">
        <v>1029</v>
      </c>
      <c r="F50" s="7">
        <v>1.97126436781609</v>
      </c>
    </row>
    <row r="51" spans="1:6">
      <c r="A51" s="14" t="s">
        <v>190</v>
      </c>
      <c r="B51" s="6">
        <v>499</v>
      </c>
      <c r="C51" s="6">
        <v>704</v>
      </c>
      <c r="D51" s="6">
        <v>748</v>
      </c>
      <c r="E51" s="6">
        <v>1452</v>
      </c>
      <c r="F51" s="7">
        <v>2.90981963927856</v>
      </c>
    </row>
    <row r="52" spans="1:6">
      <c r="A52" s="12" t="s">
        <v>191</v>
      </c>
      <c r="B52" s="6">
        <v>495</v>
      </c>
      <c r="C52" s="6">
        <v>585</v>
      </c>
      <c r="D52" s="6">
        <v>594</v>
      </c>
      <c r="E52" s="11">
        <v>1179</v>
      </c>
      <c r="F52" s="7">
        <v>2.38181818181818</v>
      </c>
    </row>
    <row r="53" spans="1:6">
      <c r="A53" s="12" t="s">
        <v>192</v>
      </c>
      <c r="B53" s="6">
        <v>495</v>
      </c>
      <c r="C53" s="6">
        <v>619</v>
      </c>
      <c r="D53" s="6">
        <v>595</v>
      </c>
      <c r="E53" s="6">
        <v>1214</v>
      </c>
      <c r="F53" s="7">
        <v>2.45252525252525</v>
      </c>
    </row>
    <row r="54" spans="1:6">
      <c r="A54" s="12" t="s">
        <v>193</v>
      </c>
      <c r="B54" s="6">
        <v>492</v>
      </c>
      <c r="C54" s="6">
        <v>616</v>
      </c>
      <c r="D54" s="6">
        <v>632</v>
      </c>
      <c r="E54" s="6">
        <v>1248</v>
      </c>
      <c r="F54" s="7">
        <v>2.53658536585366</v>
      </c>
    </row>
    <row r="55" spans="1:6">
      <c r="A55" s="12" t="s">
        <v>194</v>
      </c>
      <c r="B55" s="6">
        <v>487</v>
      </c>
      <c r="C55" s="6">
        <v>653</v>
      </c>
      <c r="D55" s="6">
        <v>670</v>
      </c>
      <c r="E55" s="11">
        <v>1323</v>
      </c>
      <c r="F55" s="7">
        <v>2.71663244353183</v>
      </c>
    </row>
    <row r="56" spans="1:6">
      <c r="A56" s="12" t="s">
        <v>195</v>
      </c>
      <c r="B56" s="6">
        <v>486</v>
      </c>
      <c r="C56" s="6">
        <v>586</v>
      </c>
      <c r="D56" s="6">
        <v>593</v>
      </c>
      <c r="E56" s="6">
        <v>1179</v>
      </c>
      <c r="F56" s="7">
        <v>2.42592592592593</v>
      </c>
    </row>
    <row r="57" spans="1:6">
      <c r="A57" s="12" t="s">
        <v>196</v>
      </c>
      <c r="B57" s="6">
        <v>486</v>
      </c>
      <c r="C57" s="6">
        <v>665</v>
      </c>
      <c r="D57" s="6">
        <v>655</v>
      </c>
      <c r="E57" s="11">
        <v>1320</v>
      </c>
      <c r="F57" s="7">
        <v>2.71604938271605</v>
      </c>
    </row>
    <row r="58" spans="1:6">
      <c r="A58" s="14" t="s">
        <v>197</v>
      </c>
      <c r="B58" s="6">
        <v>480</v>
      </c>
      <c r="C58" s="6">
        <v>605</v>
      </c>
      <c r="D58" s="6">
        <v>611</v>
      </c>
      <c r="E58" s="6">
        <v>1216</v>
      </c>
      <c r="F58" s="7">
        <v>2.53333333333333</v>
      </c>
    </row>
    <row r="59" spans="1:6">
      <c r="A59" s="12" t="s">
        <v>198</v>
      </c>
      <c r="B59" s="6">
        <v>477</v>
      </c>
      <c r="C59" s="6">
        <v>453</v>
      </c>
      <c r="D59" s="6">
        <v>329</v>
      </c>
      <c r="E59" s="11">
        <v>782</v>
      </c>
      <c r="F59" s="7">
        <v>1.63941299790356</v>
      </c>
    </row>
    <row r="60" spans="1:6">
      <c r="A60" s="12" t="s">
        <v>199</v>
      </c>
      <c r="B60" s="6">
        <v>471</v>
      </c>
      <c r="C60" s="6">
        <v>513</v>
      </c>
      <c r="D60" s="6">
        <v>556</v>
      </c>
      <c r="E60" s="11">
        <v>1069</v>
      </c>
      <c r="F60" s="7">
        <v>2.26963906581741</v>
      </c>
    </row>
    <row r="61" spans="1:6">
      <c r="A61" s="12" t="s">
        <v>200</v>
      </c>
      <c r="B61" s="6">
        <v>466</v>
      </c>
      <c r="C61" s="6">
        <v>500</v>
      </c>
      <c r="D61" s="6">
        <v>498</v>
      </c>
      <c r="E61" s="6">
        <v>998</v>
      </c>
      <c r="F61" s="7">
        <v>2.14163090128755</v>
      </c>
    </row>
    <row r="62" spans="1:6">
      <c r="A62" s="12" t="s">
        <v>201</v>
      </c>
      <c r="B62" s="6">
        <v>464</v>
      </c>
      <c r="C62" s="6">
        <v>578</v>
      </c>
      <c r="D62" s="6">
        <v>599</v>
      </c>
      <c r="E62" s="6">
        <v>1177</v>
      </c>
      <c r="F62" s="7">
        <v>2.53663793103448</v>
      </c>
    </row>
    <row r="63" spans="1:6">
      <c r="A63" s="12" t="s">
        <v>202</v>
      </c>
      <c r="B63" s="6">
        <v>462</v>
      </c>
      <c r="C63" s="6">
        <v>518</v>
      </c>
      <c r="D63" s="6">
        <v>577</v>
      </c>
      <c r="E63" s="11">
        <v>1095</v>
      </c>
      <c r="F63" s="7">
        <v>2.37012987012987</v>
      </c>
    </row>
    <row r="64" spans="1:6">
      <c r="A64" s="12" t="s">
        <v>203</v>
      </c>
      <c r="B64" s="6">
        <v>459</v>
      </c>
      <c r="C64" s="6">
        <v>514</v>
      </c>
      <c r="D64" s="6">
        <v>542</v>
      </c>
      <c r="E64" s="6">
        <v>1056</v>
      </c>
      <c r="F64" s="7">
        <v>2.30065359477124</v>
      </c>
    </row>
    <row r="65" spans="1:6">
      <c r="A65" s="12" t="s">
        <v>204</v>
      </c>
      <c r="B65" s="6">
        <v>453</v>
      </c>
      <c r="C65" s="6">
        <v>525</v>
      </c>
      <c r="D65" s="6">
        <v>516</v>
      </c>
      <c r="E65" s="6">
        <v>1041</v>
      </c>
      <c r="F65" s="7">
        <v>2.29801324503311</v>
      </c>
    </row>
    <row r="66" spans="1:6">
      <c r="A66" s="12" t="s">
        <v>205</v>
      </c>
      <c r="B66" s="6">
        <v>445</v>
      </c>
      <c r="C66" s="6">
        <v>480</v>
      </c>
      <c r="D66" s="6">
        <v>519</v>
      </c>
      <c r="E66" s="11">
        <v>999</v>
      </c>
      <c r="F66" s="7">
        <v>2.24494382022472</v>
      </c>
    </row>
    <row r="67" spans="1:6">
      <c r="A67" s="12" t="s">
        <v>206</v>
      </c>
      <c r="B67" s="6">
        <v>436</v>
      </c>
      <c r="C67" s="6">
        <v>449</v>
      </c>
      <c r="D67" s="6">
        <v>476</v>
      </c>
      <c r="E67" s="11">
        <v>925</v>
      </c>
      <c r="F67" s="7">
        <v>2.12155963302752</v>
      </c>
    </row>
    <row r="68" spans="1:6">
      <c r="A68" s="12" t="s">
        <v>207</v>
      </c>
      <c r="B68" s="6">
        <v>433</v>
      </c>
      <c r="C68" s="6">
        <v>391</v>
      </c>
      <c r="D68" s="6">
        <v>344</v>
      </c>
      <c r="E68" s="11">
        <v>735</v>
      </c>
      <c r="F68" s="7">
        <v>1.69745958429561</v>
      </c>
    </row>
    <row r="69" spans="1:6">
      <c r="A69" s="12" t="s">
        <v>208</v>
      </c>
      <c r="B69" s="6">
        <v>430</v>
      </c>
      <c r="C69" s="6">
        <v>417</v>
      </c>
      <c r="D69" s="6">
        <v>464</v>
      </c>
      <c r="E69" s="11">
        <v>881</v>
      </c>
      <c r="F69" s="7">
        <v>2.04883720930233</v>
      </c>
    </row>
    <row r="70" spans="1:6">
      <c r="A70" s="12" t="s">
        <v>209</v>
      </c>
      <c r="B70" s="6">
        <v>420</v>
      </c>
      <c r="C70" s="6">
        <v>448</v>
      </c>
      <c r="D70" s="6">
        <v>499</v>
      </c>
      <c r="E70" s="11">
        <v>947</v>
      </c>
      <c r="F70" s="7">
        <v>2.2547619047619</v>
      </c>
    </row>
    <row r="71" spans="1:6">
      <c r="A71" s="12" t="s">
        <v>210</v>
      </c>
      <c r="B71" s="6">
        <v>413</v>
      </c>
      <c r="C71" s="6">
        <v>516</v>
      </c>
      <c r="D71" s="6">
        <v>530</v>
      </c>
      <c r="E71" s="6">
        <v>1046</v>
      </c>
      <c r="F71" s="7">
        <v>2.53268765133172</v>
      </c>
    </row>
    <row r="72" spans="1:6">
      <c r="A72" s="12" t="s">
        <v>211</v>
      </c>
      <c r="B72" s="6">
        <v>395</v>
      </c>
      <c r="C72" s="6">
        <v>458</v>
      </c>
      <c r="D72" s="6">
        <v>419</v>
      </c>
      <c r="E72" s="6">
        <v>877</v>
      </c>
      <c r="F72" s="7">
        <v>2.22025316455696</v>
      </c>
    </row>
    <row r="73" spans="1:6">
      <c r="A73" s="12" t="s">
        <v>212</v>
      </c>
      <c r="B73" s="6">
        <v>394</v>
      </c>
      <c r="C73" s="6">
        <v>420</v>
      </c>
      <c r="D73" s="6">
        <v>450</v>
      </c>
      <c r="E73" s="6">
        <v>870</v>
      </c>
      <c r="F73" s="7">
        <v>2.20812182741117</v>
      </c>
    </row>
    <row r="74" spans="1:6">
      <c r="A74" s="12" t="s">
        <v>213</v>
      </c>
      <c r="B74" s="6">
        <v>384</v>
      </c>
      <c r="C74" s="6">
        <v>449</v>
      </c>
      <c r="D74" s="6">
        <v>456</v>
      </c>
      <c r="E74" s="11">
        <v>905</v>
      </c>
      <c r="F74" s="7">
        <v>2.35677083333333</v>
      </c>
    </row>
    <row r="75" spans="1:6">
      <c r="A75" s="12" t="s">
        <v>214</v>
      </c>
      <c r="B75" s="6">
        <v>379</v>
      </c>
      <c r="C75" s="6">
        <v>426</v>
      </c>
      <c r="D75" s="6">
        <v>465</v>
      </c>
      <c r="E75" s="11">
        <v>891</v>
      </c>
      <c r="F75" s="7">
        <v>2.3509234828496</v>
      </c>
    </row>
    <row r="76" spans="1:6">
      <c r="A76" s="12" t="s">
        <v>215</v>
      </c>
      <c r="B76" s="6">
        <v>374</v>
      </c>
      <c r="C76" s="6">
        <v>416</v>
      </c>
      <c r="D76" s="6">
        <v>456</v>
      </c>
      <c r="E76" s="11">
        <v>872</v>
      </c>
      <c r="F76" s="7">
        <v>2.33155080213904</v>
      </c>
    </row>
    <row r="77" spans="1:6">
      <c r="A77" s="12" t="s">
        <v>216</v>
      </c>
      <c r="B77" s="6">
        <v>363</v>
      </c>
      <c r="C77" s="6">
        <v>377</v>
      </c>
      <c r="D77" s="6">
        <v>407</v>
      </c>
      <c r="E77" s="11">
        <v>784</v>
      </c>
      <c r="F77" s="7">
        <v>2.15977961432507</v>
      </c>
    </row>
    <row r="78" spans="1:6">
      <c r="A78" s="12" t="s">
        <v>26</v>
      </c>
      <c r="B78" s="6">
        <v>362</v>
      </c>
      <c r="C78" s="6">
        <v>377</v>
      </c>
      <c r="D78" s="6">
        <v>371</v>
      </c>
      <c r="E78" s="6">
        <v>748</v>
      </c>
      <c r="F78" s="7">
        <v>2.06629834254144</v>
      </c>
    </row>
    <row r="79" spans="1:6">
      <c r="A79" s="12" t="s">
        <v>217</v>
      </c>
      <c r="B79" s="6">
        <v>356</v>
      </c>
      <c r="C79" s="6">
        <v>368</v>
      </c>
      <c r="D79" s="6">
        <v>369</v>
      </c>
      <c r="E79" s="6">
        <v>737</v>
      </c>
      <c r="F79" s="7">
        <v>2.07022471910112</v>
      </c>
    </row>
    <row r="80" spans="1:6">
      <c r="A80" s="12" t="s">
        <v>218</v>
      </c>
      <c r="B80" s="6">
        <v>309</v>
      </c>
      <c r="C80" s="6">
        <v>345</v>
      </c>
      <c r="D80" s="6">
        <v>356</v>
      </c>
      <c r="E80" s="6">
        <v>701</v>
      </c>
      <c r="F80" s="7">
        <v>2.26860841423948</v>
      </c>
    </row>
    <row r="81" spans="1:6">
      <c r="A81" s="12" t="s">
        <v>219</v>
      </c>
      <c r="B81" s="6">
        <v>304</v>
      </c>
      <c r="C81" s="6">
        <v>336</v>
      </c>
      <c r="D81" s="6">
        <v>325</v>
      </c>
      <c r="E81" s="6">
        <v>661</v>
      </c>
      <c r="F81" s="7">
        <v>2.17434210526316</v>
      </c>
    </row>
    <row r="82" spans="1:6">
      <c r="A82" s="12" t="s">
        <v>220</v>
      </c>
      <c r="B82" s="6">
        <v>301</v>
      </c>
      <c r="C82" s="6">
        <v>401</v>
      </c>
      <c r="D82" s="6">
        <v>391</v>
      </c>
      <c r="E82" s="11">
        <v>792</v>
      </c>
      <c r="F82" s="7">
        <v>2.6312292358804</v>
      </c>
    </row>
    <row r="83" spans="1:6">
      <c r="A83" s="12" t="s">
        <v>221</v>
      </c>
      <c r="B83" s="6">
        <v>298</v>
      </c>
      <c r="C83" s="6">
        <v>404</v>
      </c>
      <c r="D83" s="6">
        <v>378</v>
      </c>
      <c r="E83" s="11">
        <v>782</v>
      </c>
      <c r="F83" s="7">
        <v>2.6241610738255</v>
      </c>
    </row>
    <row r="84" spans="1:6">
      <c r="A84" s="12" t="s">
        <v>222</v>
      </c>
      <c r="B84" s="6">
        <v>271</v>
      </c>
      <c r="C84" s="9">
        <v>280</v>
      </c>
      <c r="D84" s="9">
        <v>274</v>
      </c>
      <c r="E84" s="6">
        <v>554</v>
      </c>
      <c r="F84" s="7">
        <v>2.04428044280443</v>
      </c>
    </row>
    <row r="85" spans="1:6">
      <c r="A85" s="14" t="s">
        <v>223</v>
      </c>
      <c r="B85" s="6">
        <v>268</v>
      </c>
      <c r="C85" s="6">
        <v>403</v>
      </c>
      <c r="D85" s="6">
        <v>410</v>
      </c>
      <c r="E85" s="6">
        <v>813</v>
      </c>
      <c r="F85" s="7">
        <v>3.03358208955224</v>
      </c>
    </row>
    <row r="86" spans="1:6">
      <c r="A86" s="12" t="s">
        <v>224</v>
      </c>
      <c r="B86" s="6">
        <v>257</v>
      </c>
      <c r="C86" s="6">
        <v>295</v>
      </c>
      <c r="D86" s="6">
        <v>319</v>
      </c>
      <c r="E86" s="11">
        <v>614</v>
      </c>
      <c r="F86" s="7">
        <v>2.38910505836576</v>
      </c>
    </row>
    <row r="87" spans="1:6">
      <c r="A87" s="14" t="s">
        <v>225</v>
      </c>
      <c r="B87" s="6">
        <v>248</v>
      </c>
      <c r="C87" s="6">
        <v>398</v>
      </c>
      <c r="D87" s="6">
        <v>370</v>
      </c>
      <c r="E87" s="6">
        <v>768</v>
      </c>
      <c r="F87" s="7">
        <v>3.09677419354839</v>
      </c>
    </row>
    <row r="88" spans="1:6">
      <c r="A88" s="12" t="s">
        <v>226</v>
      </c>
      <c r="B88" s="6">
        <v>215</v>
      </c>
      <c r="C88" s="6">
        <v>238</v>
      </c>
      <c r="D88" s="6">
        <v>254</v>
      </c>
      <c r="E88" s="6">
        <v>492</v>
      </c>
      <c r="F88" s="7">
        <v>2.28837209302326</v>
      </c>
    </row>
    <row r="89" spans="1:6">
      <c r="A89" s="12" t="s">
        <v>227</v>
      </c>
      <c r="B89" s="6">
        <v>209</v>
      </c>
      <c r="C89" s="6">
        <v>227</v>
      </c>
      <c r="D89" s="6">
        <v>234</v>
      </c>
      <c r="E89" s="6">
        <v>461</v>
      </c>
      <c r="F89" s="7">
        <v>2.20574162679426</v>
      </c>
    </row>
    <row r="90" spans="1:6">
      <c r="A90" s="12" t="s">
        <v>228</v>
      </c>
      <c r="B90" s="6">
        <v>200</v>
      </c>
      <c r="C90" s="6">
        <v>239</v>
      </c>
      <c r="D90" s="6">
        <v>242</v>
      </c>
      <c r="E90" s="6">
        <v>481</v>
      </c>
      <c r="F90" s="7">
        <v>2.405</v>
      </c>
    </row>
    <row r="91" spans="1:6">
      <c r="A91" s="12" t="s">
        <v>229</v>
      </c>
      <c r="B91" s="6">
        <v>183</v>
      </c>
      <c r="C91" s="6">
        <v>213</v>
      </c>
      <c r="D91" s="6">
        <v>230</v>
      </c>
      <c r="E91" s="6">
        <v>443</v>
      </c>
      <c r="F91" s="7">
        <v>2.4207650273224</v>
      </c>
    </row>
    <row r="92" spans="1:6">
      <c r="A92" s="12" t="s">
        <v>230</v>
      </c>
      <c r="B92" s="6">
        <v>179</v>
      </c>
      <c r="C92" s="6">
        <v>207</v>
      </c>
      <c r="D92" s="6">
        <v>228</v>
      </c>
      <c r="E92" s="11">
        <v>435</v>
      </c>
      <c r="F92" s="7">
        <v>2.43016759776536</v>
      </c>
    </row>
    <row r="93" spans="1:6">
      <c r="A93" s="12" t="s">
        <v>231</v>
      </c>
      <c r="B93" s="6">
        <v>178</v>
      </c>
      <c r="C93" s="6">
        <v>198</v>
      </c>
      <c r="D93" s="6">
        <v>209</v>
      </c>
      <c r="E93" s="6">
        <v>407</v>
      </c>
      <c r="F93" s="7">
        <v>2.28651685393258</v>
      </c>
    </row>
    <row r="94" spans="1:6">
      <c r="A94" s="12" t="s">
        <v>232</v>
      </c>
      <c r="B94" s="6">
        <v>174</v>
      </c>
      <c r="C94" s="6">
        <v>164</v>
      </c>
      <c r="D94" s="6">
        <v>222</v>
      </c>
      <c r="E94" s="6">
        <v>386</v>
      </c>
      <c r="F94" s="7">
        <v>2.2183908045977</v>
      </c>
    </row>
    <row r="95" spans="1:6">
      <c r="A95" s="12" t="s">
        <v>233</v>
      </c>
      <c r="B95" s="6">
        <v>167</v>
      </c>
      <c r="C95" s="6">
        <v>203</v>
      </c>
      <c r="D95" s="6">
        <v>200</v>
      </c>
      <c r="E95" s="11">
        <v>403</v>
      </c>
      <c r="F95" s="7">
        <v>2.41317365269461</v>
      </c>
    </row>
    <row r="96" spans="1:6">
      <c r="A96" s="12" t="s">
        <v>234</v>
      </c>
      <c r="B96" s="6">
        <v>160</v>
      </c>
      <c r="C96" s="6">
        <v>198</v>
      </c>
      <c r="D96" s="6">
        <v>200</v>
      </c>
      <c r="E96" s="6">
        <v>398</v>
      </c>
      <c r="F96" s="7">
        <v>2.4875</v>
      </c>
    </row>
    <row r="97" spans="1:6">
      <c r="A97" s="12" t="s">
        <v>235</v>
      </c>
      <c r="B97" s="6">
        <v>151</v>
      </c>
      <c r="C97" s="6">
        <v>172</v>
      </c>
      <c r="D97" s="6">
        <v>178</v>
      </c>
      <c r="E97" s="6">
        <v>350</v>
      </c>
      <c r="F97" s="7">
        <v>2.31788079470199</v>
      </c>
    </row>
    <row r="98" spans="1:6">
      <c r="A98" s="12" t="s">
        <v>236</v>
      </c>
      <c r="B98" s="6">
        <v>140</v>
      </c>
      <c r="C98" s="6">
        <v>161</v>
      </c>
      <c r="D98" s="6">
        <v>194</v>
      </c>
      <c r="E98" s="6">
        <v>355</v>
      </c>
      <c r="F98" s="7">
        <v>2.53571428571429</v>
      </c>
    </row>
    <row r="99" spans="1:6">
      <c r="A99" s="12" t="s">
        <v>237</v>
      </c>
      <c r="B99" s="6">
        <v>139</v>
      </c>
      <c r="C99" s="6">
        <v>165</v>
      </c>
      <c r="D99" s="6">
        <v>156</v>
      </c>
      <c r="E99" s="6">
        <v>321</v>
      </c>
      <c r="F99" s="7">
        <v>2.30935251798561</v>
      </c>
    </row>
    <row r="100" spans="1:6">
      <c r="A100" s="12" t="s">
        <v>238</v>
      </c>
      <c r="B100" s="6">
        <v>133</v>
      </c>
      <c r="C100" s="6">
        <v>149</v>
      </c>
      <c r="D100" s="6">
        <v>172</v>
      </c>
      <c r="E100" s="6">
        <v>321</v>
      </c>
      <c r="F100" s="7">
        <v>2.41353383458647</v>
      </c>
    </row>
    <row r="101" spans="1:6">
      <c r="A101" s="14" t="s">
        <v>239</v>
      </c>
      <c r="B101" s="6">
        <v>129</v>
      </c>
      <c r="C101" s="6">
        <v>183</v>
      </c>
      <c r="D101" s="6">
        <v>176</v>
      </c>
      <c r="E101" s="6">
        <v>359</v>
      </c>
      <c r="F101" s="7">
        <v>2.78294573643411</v>
      </c>
    </row>
    <row r="102" spans="1:6">
      <c r="A102" s="12" t="s">
        <v>240</v>
      </c>
      <c r="B102" s="6">
        <v>125</v>
      </c>
      <c r="C102" s="6">
        <v>116</v>
      </c>
      <c r="D102" s="6">
        <v>137</v>
      </c>
      <c r="E102" s="6">
        <v>253</v>
      </c>
      <c r="F102" s="7">
        <v>2.024</v>
      </c>
    </row>
    <row r="103" spans="1:6">
      <c r="A103" s="12" t="s">
        <v>241</v>
      </c>
      <c r="B103" s="6">
        <v>117</v>
      </c>
      <c r="C103" s="6">
        <v>16</v>
      </c>
      <c r="D103" s="6">
        <v>104</v>
      </c>
      <c r="E103" s="11">
        <v>120</v>
      </c>
      <c r="F103" s="7">
        <v>1.02564102564103</v>
      </c>
    </row>
    <row r="104" spans="1:6">
      <c r="A104" s="12" t="s">
        <v>242</v>
      </c>
      <c r="B104" s="6">
        <v>116</v>
      </c>
      <c r="C104" s="6">
        <v>106</v>
      </c>
      <c r="D104" s="6">
        <v>127</v>
      </c>
      <c r="E104" s="11">
        <v>233</v>
      </c>
      <c r="F104" s="7">
        <v>2.00862068965517</v>
      </c>
    </row>
    <row r="105" spans="1:6">
      <c r="A105" s="12" t="s">
        <v>243</v>
      </c>
      <c r="B105" s="6">
        <v>113</v>
      </c>
      <c r="C105" s="6">
        <v>150</v>
      </c>
      <c r="D105" s="6">
        <v>148</v>
      </c>
      <c r="E105" s="6">
        <v>298</v>
      </c>
      <c r="F105" s="7">
        <v>2.63716814159292</v>
      </c>
    </row>
    <row r="106" spans="1:6">
      <c r="A106" s="12" t="s">
        <v>244</v>
      </c>
      <c r="B106" s="6">
        <v>100</v>
      </c>
      <c r="C106" s="6">
        <v>130</v>
      </c>
      <c r="D106" s="6">
        <v>119</v>
      </c>
      <c r="E106" s="11">
        <v>249</v>
      </c>
      <c r="F106" s="7">
        <v>2.49</v>
      </c>
    </row>
    <row r="107" spans="1:6">
      <c r="A107" s="12" t="s">
        <v>245</v>
      </c>
      <c r="B107" s="6">
        <v>99</v>
      </c>
      <c r="C107" s="6">
        <v>139</v>
      </c>
      <c r="D107" s="6">
        <v>120</v>
      </c>
      <c r="E107" s="6">
        <v>259</v>
      </c>
      <c r="F107" s="7">
        <v>2.61616161616162</v>
      </c>
    </row>
    <row r="108" spans="1:6">
      <c r="A108" s="12" t="s">
        <v>246</v>
      </c>
      <c r="B108" s="6">
        <v>96</v>
      </c>
      <c r="C108" s="6">
        <v>106</v>
      </c>
      <c r="D108" s="6">
        <v>118</v>
      </c>
      <c r="E108" s="6">
        <v>224</v>
      </c>
      <c r="F108" s="7">
        <v>2.33333333333333</v>
      </c>
    </row>
    <row r="109" spans="1:6">
      <c r="A109" s="12" t="s">
        <v>247</v>
      </c>
      <c r="B109" s="6">
        <v>83</v>
      </c>
      <c r="C109" s="6">
        <v>114</v>
      </c>
      <c r="D109" s="6">
        <v>115</v>
      </c>
      <c r="E109" s="6">
        <v>229</v>
      </c>
      <c r="F109" s="7">
        <v>2.75903614457831</v>
      </c>
    </row>
    <row r="110" spans="1:6">
      <c r="A110" s="12" t="s">
        <v>248</v>
      </c>
      <c r="B110" s="6">
        <v>79</v>
      </c>
      <c r="C110" s="6">
        <v>75</v>
      </c>
      <c r="D110" s="6">
        <v>82</v>
      </c>
      <c r="E110" s="11">
        <v>157</v>
      </c>
      <c r="F110" s="7">
        <v>1.9873417721519</v>
      </c>
    </row>
    <row r="111" spans="1:6">
      <c r="A111" s="12" t="s">
        <v>249</v>
      </c>
      <c r="B111" s="6">
        <v>70</v>
      </c>
      <c r="C111" s="6">
        <v>89</v>
      </c>
      <c r="D111" s="6">
        <v>100</v>
      </c>
      <c r="E111" s="11">
        <v>189</v>
      </c>
      <c r="F111" s="7">
        <v>2.7</v>
      </c>
    </row>
    <row r="112" spans="1:6">
      <c r="A112" s="12" t="s">
        <v>250</v>
      </c>
      <c r="B112" s="6">
        <v>64</v>
      </c>
      <c r="C112" s="6">
        <v>82</v>
      </c>
      <c r="D112" s="6">
        <v>83</v>
      </c>
      <c r="E112" s="6">
        <v>165</v>
      </c>
      <c r="F112" s="7">
        <v>2.578125</v>
      </c>
    </row>
    <row r="113" spans="1:6">
      <c r="A113" s="12" t="s">
        <v>251</v>
      </c>
      <c r="B113" s="6">
        <v>63</v>
      </c>
      <c r="C113" s="6">
        <v>90</v>
      </c>
      <c r="D113" s="6">
        <v>71</v>
      </c>
      <c r="E113" s="11">
        <v>161</v>
      </c>
      <c r="F113" s="7">
        <v>2.55555555555556</v>
      </c>
    </row>
    <row r="114" spans="1:6">
      <c r="A114" s="12" t="s">
        <v>252</v>
      </c>
      <c r="B114" s="6">
        <v>54</v>
      </c>
      <c r="C114" s="6">
        <v>65</v>
      </c>
      <c r="D114" s="6">
        <v>53</v>
      </c>
      <c r="E114" s="6">
        <v>118</v>
      </c>
      <c r="F114" s="7">
        <v>2.18518518518518</v>
      </c>
    </row>
    <row r="115" spans="1:6">
      <c r="A115" s="12" t="s">
        <v>253</v>
      </c>
      <c r="B115" s="6">
        <v>46</v>
      </c>
      <c r="C115" s="6">
        <v>58</v>
      </c>
      <c r="D115" s="6">
        <v>61</v>
      </c>
      <c r="E115" s="11">
        <v>119</v>
      </c>
      <c r="F115" s="7">
        <v>2.58695652173913</v>
      </c>
    </row>
    <row r="116" spans="1:6">
      <c r="A116" s="12" t="s">
        <v>254</v>
      </c>
      <c r="B116" s="6">
        <v>41</v>
      </c>
      <c r="C116" s="6">
        <v>52</v>
      </c>
      <c r="D116" s="6">
        <v>51</v>
      </c>
      <c r="E116" s="11">
        <v>103</v>
      </c>
      <c r="F116" s="7">
        <v>2.51219512195122</v>
      </c>
    </row>
    <row r="117" spans="1:6">
      <c r="A117" s="12" t="s">
        <v>255</v>
      </c>
      <c r="B117" s="6">
        <v>37</v>
      </c>
      <c r="C117" s="6">
        <v>42</v>
      </c>
      <c r="D117" s="6">
        <v>49</v>
      </c>
      <c r="E117" s="11">
        <v>91</v>
      </c>
      <c r="F117" s="7">
        <v>2.45945945945946</v>
      </c>
    </row>
    <row r="118" spans="1:6">
      <c r="A118" s="12" t="s">
        <v>256</v>
      </c>
      <c r="B118" s="6">
        <v>31</v>
      </c>
      <c r="C118" s="6">
        <v>30</v>
      </c>
      <c r="D118" s="6">
        <v>43</v>
      </c>
      <c r="E118" s="6">
        <v>73</v>
      </c>
      <c r="F118" s="7">
        <v>2.35483870967742</v>
      </c>
    </row>
    <row r="119" spans="1:6">
      <c r="A119" s="12" t="s">
        <v>257</v>
      </c>
      <c r="B119" s="6">
        <v>30</v>
      </c>
      <c r="C119" s="6">
        <v>35</v>
      </c>
      <c r="D119" s="6">
        <v>36</v>
      </c>
      <c r="E119" s="6">
        <v>71</v>
      </c>
      <c r="F119" s="7">
        <v>2.36666666666667</v>
      </c>
    </row>
    <row r="120" spans="1:6">
      <c r="A120" s="12" t="s">
        <v>258</v>
      </c>
      <c r="B120" s="6">
        <v>19</v>
      </c>
      <c r="C120" s="6">
        <v>20</v>
      </c>
      <c r="D120" s="6">
        <v>21</v>
      </c>
      <c r="E120" s="6">
        <v>41</v>
      </c>
      <c r="F120" s="7">
        <v>2.15789473684211</v>
      </c>
    </row>
    <row r="121" spans="1:6">
      <c r="A121" s="12" t="s">
        <v>259</v>
      </c>
      <c r="B121" s="6">
        <v>9</v>
      </c>
      <c r="C121" s="6">
        <v>10</v>
      </c>
      <c r="D121" s="6">
        <v>9</v>
      </c>
      <c r="E121" s="6">
        <v>19</v>
      </c>
      <c r="F121" s="7">
        <v>2.11111111111111</v>
      </c>
    </row>
    <row r="122" spans="1:6">
      <c r="A122" s="12" t="s">
        <v>260</v>
      </c>
      <c r="B122" s="6">
        <v>6</v>
      </c>
      <c r="C122" s="6">
        <v>6</v>
      </c>
      <c r="D122" s="6">
        <v>6</v>
      </c>
      <c r="E122" s="6">
        <v>12</v>
      </c>
      <c r="F122" s="7">
        <v>2</v>
      </c>
    </row>
  </sheetData>
  <sortState ref="A2:F122">
    <sortCondition ref="B2:B122" descending="1"/>
  </sortState>
  <pageMargins left="0.699305555555556" right="0.699305555555556"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2"/>
  </sheetPr>
  <dimension ref="A1:K44"/>
  <sheetViews>
    <sheetView zoomScale="115" zoomScaleNormal="115" workbookViewId="0">
      <selection activeCell="H17" sqref="H17"/>
    </sheetView>
  </sheetViews>
  <sheetFormatPr defaultColWidth="9" defaultRowHeight="12"/>
  <cols>
    <col min="1" max="1" width="11.375" style="17" customWidth="1"/>
    <col min="2" max="11" width="7.625" style="17" customWidth="1"/>
    <col min="12" max="16384" width="9" style="17"/>
  </cols>
  <sheetData>
    <row r="1" spans="1:11">
      <c r="A1" s="22" t="s">
        <v>261</v>
      </c>
      <c r="B1" s="23" t="s">
        <v>262</v>
      </c>
      <c r="C1" s="23" t="s">
        <v>263</v>
      </c>
      <c r="D1" s="23" t="s">
        <v>264</v>
      </c>
      <c r="E1" s="23" t="s">
        <v>265</v>
      </c>
      <c r="F1" s="23" t="s">
        <v>266</v>
      </c>
      <c r="G1" s="23" t="s">
        <v>267</v>
      </c>
      <c r="H1" s="23" t="s">
        <v>268</v>
      </c>
      <c r="I1" s="23" t="s">
        <v>269</v>
      </c>
      <c r="J1" s="23" t="s">
        <v>270</v>
      </c>
      <c r="K1" s="23" t="s">
        <v>271</v>
      </c>
    </row>
    <row r="2" spans="1:11">
      <c r="A2" s="24" t="s">
        <v>154</v>
      </c>
      <c r="B2" s="10">
        <f>SUM(C2:K2)+SUM('[1]６(右)1'!A25:L25)</f>
        <v>3771</v>
      </c>
      <c r="C2" s="10">
        <v>441</v>
      </c>
      <c r="D2" s="10">
        <v>348</v>
      </c>
      <c r="E2" s="10">
        <v>255</v>
      </c>
      <c r="F2" s="10">
        <v>160</v>
      </c>
      <c r="G2" s="10">
        <v>178</v>
      </c>
      <c r="H2" s="10">
        <v>312</v>
      </c>
      <c r="I2" s="10">
        <v>532</v>
      </c>
      <c r="J2" s="10">
        <v>500</v>
      </c>
      <c r="K2" s="10">
        <v>520</v>
      </c>
    </row>
    <row r="3" spans="1:11">
      <c r="A3" s="24" t="s">
        <v>153</v>
      </c>
      <c r="B3" s="10">
        <f>SUM(C3:K3)+SUM('[1]６(右)1'!A26:L26)</f>
        <v>3603</v>
      </c>
      <c r="C3" s="10">
        <v>250</v>
      </c>
      <c r="D3" s="10">
        <v>257</v>
      </c>
      <c r="E3" s="10">
        <v>244</v>
      </c>
      <c r="F3" s="10">
        <v>262</v>
      </c>
      <c r="G3" s="10">
        <v>299</v>
      </c>
      <c r="H3" s="10">
        <v>377</v>
      </c>
      <c r="I3" s="10">
        <v>404</v>
      </c>
      <c r="J3" s="10">
        <v>479</v>
      </c>
      <c r="K3" s="10">
        <v>456</v>
      </c>
    </row>
    <row r="4" spans="1:11">
      <c r="A4" s="24" t="s">
        <v>156</v>
      </c>
      <c r="B4" s="10">
        <f>SUM(C4:K4)+SUM('[1]６(右)1'!A28:L28)</f>
        <v>2963</v>
      </c>
      <c r="C4" s="10">
        <v>578</v>
      </c>
      <c r="D4" s="10">
        <v>228</v>
      </c>
      <c r="E4" s="10">
        <v>102</v>
      </c>
      <c r="F4" s="10">
        <v>60</v>
      </c>
      <c r="G4" s="10">
        <v>63</v>
      </c>
      <c r="H4" s="10">
        <v>270</v>
      </c>
      <c r="I4" s="10">
        <v>618</v>
      </c>
      <c r="J4" s="10">
        <v>542</v>
      </c>
      <c r="K4" s="10">
        <v>269</v>
      </c>
    </row>
    <row r="5" spans="1:11">
      <c r="A5" s="24" t="s">
        <v>43</v>
      </c>
      <c r="B5" s="10">
        <f>SUM(C5:K5)+SUM('[1]６(右)1'!A30:L30)</f>
        <v>2693</v>
      </c>
      <c r="C5" s="10">
        <v>59</v>
      </c>
      <c r="D5" s="10">
        <v>122</v>
      </c>
      <c r="E5" s="10">
        <v>72</v>
      </c>
      <c r="F5" s="10">
        <v>33</v>
      </c>
      <c r="G5" s="10">
        <v>29</v>
      </c>
      <c r="H5" s="10">
        <v>28</v>
      </c>
      <c r="I5" s="10">
        <v>57</v>
      </c>
      <c r="J5" s="10">
        <v>139</v>
      </c>
      <c r="K5" s="10">
        <v>117</v>
      </c>
    </row>
    <row r="6" spans="1:11">
      <c r="A6" s="24" t="s">
        <v>173</v>
      </c>
      <c r="B6" s="10">
        <f>SUM(C6:K6)+SUM('[1]６(右)1'!A40:L40)</f>
        <v>2417</v>
      </c>
      <c r="C6" s="10">
        <v>174</v>
      </c>
      <c r="D6" s="10">
        <v>118</v>
      </c>
      <c r="E6" s="10">
        <v>126</v>
      </c>
      <c r="F6" s="10">
        <v>128</v>
      </c>
      <c r="G6" s="10">
        <v>129</v>
      </c>
      <c r="H6" s="10">
        <v>176</v>
      </c>
      <c r="I6" s="10">
        <v>243</v>
      </c>
      <c r="J6" s="10">
        <v>195</v>
      </c>
      <c r="K6" s="10">
        <v>239</v>
      </c>
    </row>
    <row r="7" spans="1:11">
      <c r="A7" s="24" t="s">
        <v>231</v>
      </c>
      <c r="B7" s="10">
        <f>SUM(C7:K7)+SUM('[1]６(右)1'!A39:L39)</f>
        <v>2277</v>
      </c>
      <c r="C7" s="10">
        <v>119</v>
      </c>
      <c r="D7" s="10">
        <v>117</v>
      </c>
      <c r="E7" s="10">
        <v>125</v>
      </c>
      <c r="F7" s="10">
        <v>117</v>
      </c>
      <c r="G7" s="10">
        <v>164</v>
      </c>
      <c r="H7" s="10">
        <v>201</v>
      </c>
      <c r="I7" s="10">
        <v>252</v>
      </c>
      <c r="J7" s="10">
        <v>259</v>
      </c>
      <c r="K7" s="10">
        <v>253</v>
      </c>
    </row>
    <row r="8" spans="1:11">
      <c r="A8" s="24" t="s">
        <v>181</v>
      </c>
      <c r="B8" s="10">
        <f>SUM(C8:K8)+SUM('[1]６(右)1'!A41:L41)</f>
        <v>2154</v>
      </c>
      <c r="C8" s="10">
        <v>134</v>
      </c>
      <c r="D8" s="10">
        <v>115</v>
      </c>
      <c r="E8" s="10">
        <v>132</v>
      </c>
      <c r="F8" s="10">
        <v>118</v>
      </c>
      <c r="G8" s="10">
        <v>138</v>
      </c>
      <c r="H8" s="10">
        <v>160</v>
      </c>
      <c r="I8" s="10">
        <v>216</v>
      </c>
      <c r="J8" s="10">
        <v>193</v>
      </c>
      <c r="K8" s="10">
        <v>255</v>
      </c>
    </row>
    <row r="9" spans="1:11">
      <c r="A9" s="25" t="s">
        <v>190</v>
      </c>
      <c r="B9" s="10">
        <f>SUM(C9:K9)+SUM('[1]６(右)1'!A21:L21)</f>
        <v>1569</v>
      </c>
      <c r="C9" s="10">
        <v>78</v>
      </c>
      <c r="D9" s="10">
        <v>110</v>
      </c>
      <c r="E9" s="10">
        <v>144</v>
      </c>
      <c r="F9" s="10">
        <v>100</v>
      </c>
      <c r="G9" s="10">
        <v>58</v>
      </c>
      <c r="H9" s="10">
        <v>38</v>
      </c>
      <c r="I9" s="10">
        <v>63</v>
      </c>
      <c r="J9" s="10">
        <v>129</v>
      </c>
      <c r="K9" s="10">
        <v>157</v>
      </c>
    </row>
    <row r="10" spans="1:11">
      <c r="A10" s="24" t="s">
        <v>160</v>
      </c>
      <c r="B10" s="10">
        <f>SUM(C10:K10)+SUM('[1]６(右)1'!A35:L35)</f>
        <v>2200</v>
      </c>
      <c r="C10" s="10">
        <v>148</v>
      </c>
      <c r="D10" s="10">
        <v>101</v>
      </c>
      <c r="E10" s="10">
        <v>81</v>
      </c>
      <c r="F10" s="10">
        <v>101</v>
      </c>
      <c r="G10" s="10">
        <v>158</v>
      </c>
      <c r="H10" s="10">
        <v>246</v>
      </c>
      <c r="I10" s="10">
        <v>296</v>
      </c>
      <c r="J10" s="10">
        <v>274</v>
      </c>
      <c r="K10" s="10">
        <v>274</v>
      </c>
    </row>
    <row r="11" spans="1:11">
      <c r="A11" s="25" t="s">
        <v>223</v>
      </c>
      <c r="B11" s="10">
        <f>SUM(C11:K11)+SUM('[1]６(右)1'!A23:L23)</f>
        <v>1004</v>
      </c>
      <c r="C11" s="10">
        <v>45</v>
      </c>
      <c r="D11" s="10">
        <v>95</v>
      </c>
      <c r="E11" s="10">
        <v>82</v>
      </c>
      <c r="F11" s="10">
        <v>60</v>
      </c>
      <c r="G11" s="10">
        <v>26</v>
      </c>
      <c r="H11" s="10">
        <v>31</v>
      </c>
      <c r="I11" s="10">
        <v>41</v>
      </c>
      <c r="J11" s="10">
        <v>75</v>
      </c>
      <c r="K11" s="10">
        <v>125</v>
      </c>
    </row>
    <row r="12" spans="1:11">
      <c r="A12" s="24" t="s">
        <v>39</v>
      </c>
      <c r="B12" s="10">
        <f>SUM(C12:K12)+SUM('[1]６(右)1'!A34:L34)</f>
        <v>1701</v>
      </c>
      <c r="C12" s="10">
        <v>146</v>
      </c>
      <c r="D12" s="10">
        <v>87</v>
      </c>
      <c r="E12" s="10">
        <v>58</v>
      </c>
      <c r="F12" s="10">
        <v>43</v>
      </c>
      <c r="G12" s="10">
        <v>93</v>
      </c>
      <c r="H12" s="10">
        <v>209</v>
      </c>
      <c r="I12" s="10">
        <v>262</v>
      </c>
      <c r="J12" s="10">
        <v>257</v>
      </c>
      <c r="K12" s="10">
        <v>226</v>
      </c>
    </row>
    <row r="13" spans="1:11">
      <c r="A13" s="24" t="s">
        <v>226</v>
      </c>
      <c r="B13" s="10">
        <f>SUM(C13:K13)+SUM('[1]６(右)1'!A37:L37)</f>
        <v>2125</v>
      </c>
      <c r="C13" s="10">
        <v>114</v>
      </c>
      <c r="D13" s="10">
        <v>81</v>
      </c>
      <c r="E13" s="10">
        <v>50</v>
      </c>
      <c r="F13" s="10">
        <v>31</v>
      </c>
      <c r="G13" s="10">
        <v>60</v>
      </c>
      <c r="H13" s="10">
        <v>158</v>
      </c>
      <c r="I13" s="10">
        <v>181</v>
      </c>
      <c r="J13" s="10">
        <v>176</v>
      </c>
      <c r="K13" s="10">
        <v>137</v>
      </c>
    </row>
    <row r="14" spans="1:11">
      <c r="A14" s="24" t="s">
        <v>189</v>
      </c>
      <c r="B14" s="10">
        <f>SUM(C14:K14)+SUM('[1]６(右)1'!A33:L33)</f>
        <v>1279</v>
      </c>
      <c r="C14" s="10">
        <v>101</v>
      </c>
      <c r="D14" s="10">
        <v>80</v>
      </c>
      <c r="E14" s="10">
        <v>48</v>
      </c>
      <c r="F14" s="10">
        <v>50</v>
      </c>
      <c r="G14" s="10">
        <v>61</v>
      </c>
      <c r="H14" s="10">
        <v>63</v>
      </c>
      <c r="I14" s="10">
        <v>91</v>
      </c>
      <c r="J14" s="10">
        <v>146</v>
      </c>
      <c r="K14" s="10">
        <v>117</v>
      </c>
    </row>
    <row r="15" spans="1:11">
      <c r="A15" s="25" t="s">
        <v>225</v>
      </c>
      <c r="B15" s="10">
        <f>SUM(C15:K15)+SUM('[1]６(右)1'!A22:L22)</f>
        <v>770</v>
      </c>
      <c r="C15" s="10">
        <v>49</v>
      </c>
      <c r="D15" s="10">
        <v>77</v>
      </c>
      <c r="E15" s="10">
        <v>95</v>
      </c>
      <c r="F15" s="10">
        <v>63</v>
      </c>
      <c r="G15" s="10">
        <v>23</v>
      </c>
      <c r="H15" s="10">
        <v>12</v>
      </c>
      <c r="I15" s="10">
        <v>27</v>
      </c>
      <c r="J15" s="10">
        <v>84</v>
      </c>
      <c r="K15" s="10">
        <v>116</v>
      </c>
    </row>
    <row r="16" spans="1:11">
      <c r="A16" s="25" t="s">
        <v>197</v>
      </c>
      <c r="B16" s="10">
        <f>SUM(C16:K16)+SUM('[1]６(右)1'!A20:L20)</f>
        <v>1749</v>
      </c>
      <c r="C16" s="10">
        <v>56</v>
      </c>
      <c r="D16" s="10">
        <v>74</v>
      </c>
      <c r="E16" s="10">
        <v>76</v>
      </c>
      <c r="F16" s="10">
        <v>77</v>
      </c>
      <c r="G16" s="10">
        <v>61</v>
      </c>
      <c r="H16" s="10">
        <v>51</v>
      </c>
      <c r="I16" s="10">
        <v>82</v>
      </c>
      <c r="J16" s="10">
        <v>94</v>
      </c>
      <c r="K16" s="10">
        <v>120</v>
      </c>
    </row>
    <row r="17" spans="1:11">
      <c r="A17" s="24" t="s">
        <v>177</v>
      </c>
      <c r="B17" s="10">
        <f>SUM(C17:K17)+SUM('[1]６(右)1'!A15:L15)</f>
        <v>1162</v>
      </c>
      <c r="C17" s="10">
        <v>46</v>
      </c>
      <c r="D17" s="10">
        <v>70</v>
      </c>
      <c r="E17" s="10">
        <v>50</v>
      </c>
      <c r="F17" s="10">
        <v>63</v>
      </c>
      <c r="G17" s="10">
        <v>109</v>
      </c>
      <c r="H17" s="10">
        <v>90</v>
      </c>
      <c r="I17" s="10">
        <v>104</v>
      </c>
      <c r="J17" s="10">
        <v>121</v>
      </c>
      <c r="K17" s="10">
        <v>92</v>
      </c>
    </row>
    <row r="18" spans="1:11">
      <c r="A18" s="24" t="s">
        <v>174</v>
      </c>
      <c r="B18" s="10">
        <f>SUM(C18:K18)+SUM('[1]６(右)1'!A32:L32)</f>
        <v>1071</v>
      </c>
      <c r="C18" s="10">
        <v>64</v>
      </c>
      <c r="D18" s="10">
        <v>61</v>
      </c>
      <c r="E18" s="10">
        <v>61</v>
      </c>
      <c r="F18" s="10">
        <v>79</v>
      </c>
      <c r="G18" s="10">
        <v>120</v>
      </c>
      <c r="H18" s="10">
        <v>97</v>
      </c>
      <c r="I18" s="10">
        <v>101</v>
      </c>
      <c r="J18" s="10">
        <v>96</v>
      </c>
      <c r="K18" s="10">
        <v>129</v>
      </c>
    </row>
    <row r="19" spans="1:11">
      <c r="A19" s="24" t="s">
        <v>175</v>
      </c>
      <c r="B19" s="10">
        <f>SUM(C19:K19)+SUM('[1]６(右)1'!A13:L13)</f>
        <v>1035</v>
      </c>
      <c r="C19" s="10">
        <v>49</v>
      </c>
      <c r="D19" s="10">
        <v>56</v>
      </c>
      <c r="E19" s="10">
        <v>85</v>
      </c>
      <c r="F19" s="10">
        <v>113</v>
      </c>
      <c r="G19" s="10">
        <v>138</v>
      </c>
      <c r="H19" s="10">
        <v>109</v>
      </c>
      <c r="I19" s="10">
        <v>96</v>
      </c>
      <c r="J19" s="10">
        <v>78</v>
      </c>
      <c r="K19" s="10">
        <v>132</v>
      </c>
    </row>
    <row r="20" spans="1:11">
      <c r="A20" s="24" t="s">
        <v>195</v>
      </c>
      <c r="B20" s="10">
        <f>SUM(C20:K20)+SUM('[1]６(右)1'!A44:L44)</f>
        <v>1939</v>
      </c>
      <c r="C20" s="10">
        <v>53</v>
      </c>
      <c r="D20" s="10">
        <v>56</v>
      </c>
      <c r="E20" s="10">
        <v>50</v>
      </c>
      <c r="F20" s="10">
        <v>49</v>
      </c>
      <c r="G20" s="10">
        <v>32</v>
      </c>
      <c r="H20" s="10">
        <v>27</v>
      </c>
      <c r="I20" s="10">
        <v>47</v>
      </c>
      <c r="J20" s="10">
        <v>106</v>
      </c>
      <c r="K20" s="10">
        <v>94</v>
      </c>
    </row>
    <row r="21" spans="1:11">
      <c r="A21" s="24" t="s">
        <v>164</v>
      </c>
      <c r="B21" s="10">
        <f>SUM(C21:K21)+SUM('[1]６(右)1'!A36:L36)</f>
        <v>1179</v>
      </c>
      <c r="C21" s="10">
        <v>76</v>
      </c>
      <c r="D21" s="10">
        <v>55</v>
      </c>
      <c r="E21" s="10">
        <v>38</v>
      </c>
      <c r="F21" s="10">
        <v>62</v>
      </c>
      <c r="G21" s="10">
        <v>89</v>
      </c>
      <c r="H21" s="10">
        <v>170</v>
      </c>
      <c r="I21" s="10">
        <v>186</v>
      </c>
      <c r="J21" s="10">
        <v>171</v>
      </c>
      <c r="K21" s="10">
        <v>144</v>
      </c>
    </row>
    <row r="22" spans="1:11">
      <c r="A22" s="24" t="s">
        <v>210</v>
      </c>
      <c r="B22" s="10">
        <f>SUM(C22:K22)+SUM('[1]６(右)1'!A10:L10)</f>
        <v>801</v>
      </c>
      <c r="C22" s="10">
        <v>83</v>
      </c>
      <c r="D22" s="10">
        <v>54</v>
      </c>
      <c r="E22" s="10">
        <v>43</v>
      </c>
      <c r="F22" s="10">
        <v>52</v>
      </c>
      <c r="G22" s="10">
        <v>57</v>
      </c>
      <c r="H22" s="10">
        <v>60</v>
      </c>
      <c r="I22" s="10">
        <v>87</v>
      </c>
      <c r="J22" s="10">
        <v>95</v>
      </c>
      <c r="K22" s="10">
        <v>98</v>
      </c>
    </row>
    <row r="23" spans="1:11">
      <c r="A23" s="24" t="s">
        <v>211</v>
      </c>
      <c r="B23" s="10">
        <f>SUM(C23:K23)+SUM('[1]６(右)1'!A2:L2)</f>
        <v>545</v>
      </c>
      <c r="C23" s="10">
        <v>66</v>
      </c>
      <c r="D23" s="10">
        <v>47</v>
      </c>
      <c r="E23" s="10">
        <v>28</v>
      </c>
      <c r="F23" s="10">
        <v>27</v>
      </c>
      <c r="G23" s="10">
        <v>38</v>
      </c>
      <c r="H23" s="10">
        <v>69</v>
      </c>
      <c r="I23" s="10">
        <v>100</v>
      </c>
      <c r="J23" s="10">
        <v>91</v>
      </c>
      <c r="K23" s="10">
        <v>79</v>
      </c>
    </row>
    <row r="24" spans="1:11">
      <c r="A24" s="24" t="s">
        <v>26</v>
      </c>
      <c r="B24" s="10">
        <f>SUM(C24:K24)+SUM('[1]６(右)1'!A27:L27)</f>
        <v>707</v>
      </c>
      <c r="C24" s="10">
        <v>29</v>
      </c>
      <c r="D24" s="10">
        <v>43</v>
      </c>
      <c r="E24" s="10">
        <v>39</v>
      </c>
      <c r="F24" s="10">
        <v>32</v>
      </c>
      <c r="G24" s="10">
        <v>59</v>
      </c>
      <c r="H24" s="10">
        <v>48</v>
      </c>
      <c r="I24" s="10">
        <v>84</v>
      </c>
      <c r="J24" s="10">
        <v>71</v>
      </c>
      <c r="K24" s="10">
        <v>80</v>
      </c>
    </row>
    <row r="25" spans="1:11">
      <c r="A25" s="24" t="s">
        <v>203</v>
      </c>
      <c r="B25" s="10">
        <f>SUM(C25:K25)+SUM('[1]６(右)1'!A14:L14)</f>
        <v>786</v>
      </c>
      <c r="C25" s="10">
        <v>60</v>
      </c>
      <c r="D25" s="10">
        <v>36</v>
      </c>
      <c r="E25" s="10">
        <v>36</v>
      </c>
      <c r="F25" s="10">
        <v>52</v>
      </c>
      <c r="G25" s="10">
        <v>53</v>
      </c>
      <c r="H25" s="10">
        <v>76</v>
      </c>
      <c r="I25" s="10">
        <v>98</v>
      </c>
      <c r="J25" s="10">
        <v>85</v>
      </c>
      <c r="K25" s="10">
        <v>84</v>
      </c>
    </row>
    <row r="26" spans="1:11">
      <c r="A26" s="24" t="s">
        <v>192</v>
      </c>
      <c r="B26" s="10">
        <f>SUM(C26:K26)+SUM('[1]６(右)1'!A16:L16)</f>
        <v>743</v>
      </c>
      <c r="C26" s="10">
        <v>23</v>
      </c>
      <c r="D26" s="10">
        <v>32</v>
      </c>
      <c r="E26" s="10">
        <v>63</v>
      </c>
      <c r="F26" s="10">
        <v>79</v>
      </c>
      <c r="G26" s="10">
        <v>73</v>
      </c>
      <c r="H26" s="10">
        <v>53</v>
      </c>
      <c r="I26" s="10">
        <v>56</v>
      </c>
      <c r="J26" s="10">
        <v>58</v>
      </c>
      <c r="K26" s="10">
        <v>85</v>
      </c>
    </row>
    <row r="27" spans="1:11">
      <c r="A27" s="24" t="s">
        <v>247</v>
      </c>
      <c r="B27" s="10">
        <f>SUM(C27:K27)+SUM('[1]６(右)1'!A19:L19)</f>
        <v>679</v>
      </c>
      <c r="C27" s="10">
        <v>35</v>
      </c>
      <c r="D27" s="10">
        <v>32</v>
      </c>
      <c r="E27" s="10">
        <v>8</v>
      </c>
      <c r="F27" s="10">
        <v>4</v>
      </c>
      <c r="G27" s="10">
        <v>3</v>
      </c>
      <c r="H27" s="10">
        <v>18</v>
      </c>
      <c r="I27" s="10">
        <v>26</v>
      </c>
      <c r="J27" s="10">
        <v>49</v>
      </c>
      <c r="K27" s="10">
        <v>28</v>
      </c>
    </row>
    <row r="28" spans="1:11">
      <c r="A28" s="25" t="s">
        <v>239</v>
      </c>
      <c r="B28" s="10">
        <f>SUM(C28:K28)+SUM('[1]６(右)1'!A24:L24)</f>
        <v>242</v>
      </c>
      <c r="C28" s="10">
        <v>25</v>
      </c>
      <c r="D28" s="10">
        <v>31</v>
      </c>
      <c r="E28" s="10">
        <v>17</v>
      </c>
      <c r="F28" s="10">
        <v>12</v>
      </c>
      <c r="G28" s="10">
        <v>17</v>
      </c>
      <c r="H28" s="10">
        <v>22</v>
      </c>
      <c r="I28" s="10">
        <v>31</v>
      </c>
      <c r="J28" s="10">
        <v>32</v>
      </c>
      <c r="K28" s="10">
        <v>29</v>
      </c>
    </row>
    <row r="29" spans="1:11">
      <c r="A29" s="24" t="s">
        <v>201</v>
      </c>
      <c r="B29" s="10">
        <f>SUM(C29:K29)+SUM('[1]６(右)1'!A38:L38)</f>
        <v>1499</v>
      </c>
      <c r="C29" s="10">
        <v>64</v>
      </c>
      <c r="D29" s="10">
        <v>28</v>
      </c>
      <c r="E29" s="10">
        <v>32</v>
      </c>
      <c r="F29" s="10">
        <v>47</v>
      </c>
      <c r="G29" s="10">
        <v>57</v>
      </c>
      <c r="H29" s="10">
        <v>111</v>
      </c>
      <c r="I29" s="10">
        <v>121</v>
      </c>
      <c r="J29" s="10">
        <v>99</v>
      </c>
      <c r="K29" s="10">
        <v>93</v>
      </c>
    </row>
    <row r="30" spans="1:11">
      <c r="A30" s="24" t="s">
        <v>227</v>
      </c>
      <c r="B30" s="10">
        <f>SUM(C30:K30)+SUM('[1]６(右)1'!A6:L6)</f>
        <v>86068</v>
      </c>
      <c r="C30" s="10">
        <v>14</v>
      </c>
      <c r="D30" s="10">
        <v>28</v>
      </c>
      <c r="E30" s="10">
        <v>22</v>
      </c>
      <c r="F30" s="10">
        <v>22</v>
      </c>
      <c r="G30" s="10">
        <v>23</v>
      </c>
      <c r="H30" s="10">
        <v>28</v>
      </c>
      <c r="I30" s="10">
        <v>33</v>
      </c>
      <c r="J30" s="10">
        <v>21</v>
      </c>
      <c r="K30" s="10">
        <v>34</v>
      </c>
    </row>
    <row r="31" spans="1:11">
      <c r="A31" s="24" t="s">
        <v>212</v>
      </c>
      <c r="B31" s="10">
        <f>SUM(C31:K31)+SUM('[1]６(右)1'!A43:L43)</f>
        <v>656</v>
      </c>
      <c r="C31" s="10">
        <v>25</v>
      </c>
      <c r="D31" s="10">
        <v>27</v>
      </c>
      <c r="E31" s="10">
        <v>23</v>
      </c>
      <c r="F31" s="10">
        <v>29</v>
      </c>
      <c r="G31" s="10">
        <v>19</v>
      </c>
      <c r="H31" s="10">
        <v>16</v>
      </c>
      <c r="I31" s="10">
        <v>34</v>
      </c>
      <c r="J31" s="10">
        <v>42</v>
      </c>
      <c r="K31" s="10">
        <v>64</v>
      </c>
    </row>
    <row r="32" spans="1:11">
      <c r="A32" s="24" t="s">
        <v>172</v>
      </c>
      <c r="B32" s="10">
        <f>SUM(C32:K32)+SUM('[1]６(右)1'!A31:L31)</f>
        <v>3434</v>
      </c>
      <c r="C32" s="10">
        <v>26</v>
      </c>
      <c r="D32" s="10">
        <v>24</v>
      </c>
      <c r="E32" s="10">
        <v>17</v>
      </c>
      <c r="F32" s="10">
        <v>20</v>
      </c>
      <c r="G32" s="10">
        <v>18</v>
      </c>
      <c r="H32" s="10">
        <v>19</v>
      </c>
      <c r="I32" s="10">
        <v>24</v>
      </c>
      <c r="J32" s="10">
        <v>32</v>
      </c>
      <c r="K32" s="10">
        <v>39</v>
      </c>
    </row>
    <row r="33" spans="1:11">
      <c r="A33" s="24" t="s">
        <v>229</v>
      </c>
      <c r="B33" s="10">
        <f>SUM(C33:K33)+SUM('[1]６(右)1'!A17:L17)</f>
        <v>290</v>
      </c>
      <c r="C33" s="10">
        <v>20</v>
      </c>
      <c r="D33" s="10">
        <v>22</v>
      </c>
      <c r="E33" s="10">
        <v>29</v>
      </c>
      <c r="F33" s="10">
        <v>22</v>
      </c>
      <c r="G33" s="10">
        <v>13</v>
      </c>
      <c r="H33" s="10">
        <v>14</v>
      </c>
      <c r="I33" s="10">
        <v>23</v>
      </c>
      <c r="J33" s="10">
        <v>35</v>
      </c>
      <c r="K33" s="10">
        <v>41</v>
      </c>
    </row>
    <row r="34" spans="1:11">
      <c r="A34" s="24" t="s">
        <v>235</v>
      </c>
      <c r="B34" s="10">
        <f>SUM(C34:K34)+SUM('[1]６(右)1'!A3:L3)</f>
        <v>163</v>
      </c>
      <c r="C34" s="10">
        <v>15</v>
      </c>
      <c r="D34" s="10">
        <v>21</v>
      </c>
      <c r="E34" s="10">
        <v>12</v>
      </c>
      <c r="F34" s="10">
        <v>20</v>
      </c>
      <c r="G34" s="10">
        <v>18</v>
      </c>
      <c r="H34" s="10">
        <v>17</v>
      </c>
      <c r="I34" s="10">
        <v>15</v>
      </c>
      <c r="J34" s="10">
        <v>17</v>
      </c>
      <c r="K34" s="10">
        <v>28</v>
      </c>
    </row>
    <row r="35" spans="1:11">
      <c r="A35" s="24" t="s">
        <v>217</v>
      </c>
      <c r="B35" s="10">
        <f>SUM(C35:K35)+SUM('[1]６(右)1'!A18:L18)</f>
        <v>1394</v>
      </c>
      <c r="C35" s="10">
        <v>23</v>
      </c>
      <c r="D35" s="10">
        <v>18</v>
      </c>
      <c r="E35" s="10">
        <v>31</v>
      </c>
      <c r="F35" s="10">
        <v>31</v>
      </c>
      <c r="G35" s="10">
        <v>27</v>
      </c>
      <c r="H35" s="10">
        <v>21</v>
      </c>
      <c r="I35" s="10">
        <v>61</v>
      </c>
      <c r="J35" s="10">
        <v>29</v>
      </c>
      <c r="K35" s="10">
        <v>72</v>
      </c>
    </row>
    <row r="36" spans="1:11">
      <c r="A36" s="24" t="s">
        <v>234</v>
      </c>
      <c r="B36" s="10">
        <f>SUM(C36:K36)+SUM('[1]６(右)1'!A42:L42)</f>
        <v>717</v>
      </c>
      <c r="C36" s="10">
        <v>16</v>
      </c>
      <c r="D36" s="10">
        <v>17</v>
      </c>
      <c r="E36" s="10">
        <v>33</v>
      </c>
      <c r="F36" s="10">
        <v>17</v>
      </c>
      <c r="G36" s="10">
        <v>19</v>
      </c>
      <c r="H36" s="10">
        <v>19</v>
      </c>
      <c r="I36" s="10">
        <v>15</v>
      </c>
      <c r="J36" s="10">
        <v>23</v>
      </c>
      <c r="K36" s="10">
        <v>37</v>
      </c>
    </row>
    <row r="37" spans="1:11">
      <c r="A37" s="24" t="s">
        <v>238</v>
      </c>
      <c r="B37" s="10">
        <f>SUM(C37:K37)+SUM('[1]６(右)1'!A7:L7)</f>
        <v>479</v>
      </c>
      <c r="C37" s="10">
        <v>9</v>
      </c>
      <c r="D37" s="10">
        <v>17</v>
      </c>
      <c r="E37" s="10">
        <v>14</v>
      </c>
      <c r="F37" s="10">
        <v>18</v>
      </c>
      <c r="G37" s="10">
        <v>12</v>
      </c>
      <c r="H37" s="10">
        <v>16</v>
      </c>
      <c r="I37" s="10">
        <v>17</v>
      </c>
      <c r="J37" s="10">
        <v>18</v>
      </c>
      <c r="K37" s="10">
        <v>26</v>
      </c>
    </row>
    <row r="38" spans="1:11">
      <c r="A38" s="24" t="s">
        <v>232</v>
      </c>
      <c r="B38" s="10">
        <f>SUM(C38:K38)+SUM('[1]６(右)1'!A11:L11)</f>
        <v>401</v>
      </c>
      <c r="C38" s="10">
        <v>7</v>
      </c>
      <c r="D38" s="10">
        <v>15</v>
      </c>
      <c r="E38" s="10">
        <v>27</v>
      </c>
      <c r="F38" s="10">
        <v>25</v>
      </c>
      <c r="G38" s="10">
        <v>14</v>
      </c>
      <c r="H38" s="10">
        <v>18</v>
      </c>
      <c r="I38" s="10">
        <v>22</v>
      </c>
      <c r="J38" s="10">
        <v>11</v>
      </c>
      <c r="K38" s="10">
        <v>26</v>
      </c>
    </row>
    <row r="39" spans="1:11">
      <c r="A39" s="24" t="s">
        <v>219</v>
      </c>
      <c r="B39" s="10">
        <f>SUM(C39:K39)+SUM('[1]６(右)1'!A4:L4)</f>
        <v>257</v>
      </c>
      <c r="C39" s="10">
        <v>11</v>
      </c>
      <c r="D39" s="10">
        <v>14</v>
      </c>
      <c r="E39" s="10">
        <v>23</v>
      </c>
      <c r="F39" s="10">
        <v>44</v>
      </c>
      <c r="G39" s="10">
        <v>32</v>
      </c>
      <c r="H39" s="10">
        <v>27</v>
      </c>
      <c r="I39" s="10">
        <v>20</v>
      </c>
      <c r="J39" s="10">
        <v>37</v>
      </c>
      <c r="K39" s="10">
        <v>49</v>
      </c>
    </row>
    <row r="40" spans="1:11">
      <c r="A40" s="24" t="s">
        <v>162</v>
      </c>
      <c r="B40" s="10">
        <f>SUM(C40:K40)+SUM('[1]６(右)1'!A29:L29)</f>
        <v>315</v>
      </c>
      <c r="C40" s="10">
        <v>9</v>
      </c>
      <c r="D40" s="10">
        <v>13</v>
      </c>
      <c r="E40" s="10">
        <v>20</v>
      </c>
      <c r="F40" s="10">
        <v>27</v>
      </c>
      <c r="G40" s="10">
        <v>28</v>
      </c>
      <c r="H40" s="10">
        <v>12</v>
      </c>
      <c r="I40" s="10">
        <v>17</v>
      </c>
      <c r="J40" s="10">
        <v>16</v>
      </c>
      <c r="K40" s="10">
        <v>30</v>
      </c>
    </row>
    <row r="41" spans="1:11">
      <c r="A41" s="24" t="s">
        <v>237</v>
      </c>
      <c r="B41" s="10">
        <f>SUM(C41:K41)+SUM('[1]６(右)1'!A8:L8)</f>
        <v>329</v>
      </c>
      <c r="C41" s="10">
        <v>10</v>
      </c>
      <c r="D41" s="10">
        <v>12</v>
      </c>
      <c r="E41" s="10">
        <v>16</v>
      </c>
      <c r="F41" s="10">
        <v>13</v>
      </c>
      <c r="G41" s="10">
        <v>10</v>
      </c>
      <c r="H41" s="10">
        <v>17</v>
      </c>
      <c r="I41" s="10">
        <v>18</v>
      </c>
      <c r="J41" s="10">
        <v>19</v>
      </c>
      <c r="K41" s="10">
        <v>27</v>
      </c>
    </row>
    <row r="42" spans="1:11">
      <c r="A42" s="24" t="s">
        <v>236</v>
      </c>
      <c r="B42" s="10">
        <f>SUM(C42:K42)+SUM('[1]６(右)1'!A9:L9)</f>
        <v>553</v>
      </c>
      <c r="C42" s="10">
        <v>9</v>
      </c>
      <c r="D42" s="10">
        <v>12</v>
      </c>
      <c r="E42" s="10">
        <v>14</v>
      </c>
      <c r="F42" s="10">
        <v>22</v>
      </c>
      <c r="G42" s="10">
        <v>19</v>
      </c>
      <c r="H42" s="10">
        <v>14</v>
      </c>
      <c r="I42" s="10">
        <v>19</v>
      </c>
      <c r="J42" s="10">
        <v>13</v>
      </c>
      <c r="K42" s="10">
        <v>27</v>
      </c>
    </row>
    <row r="43" spans="1:11">
      <c r="A43" s="24" t="s">
        <v>240</v>
      </c>
      <c r="B43" s="10">
        <f>SUM(C43:K43)+SUM('[1]６(右)1'!A5:L5)</f>
        <v>81</v>
      </c>
      <c r="C43" s="10">
        <v>2</v>
      </c>
      <c r="D43" s="10">
        <v>5</v>
      </c>
      <c r="E43" s="10">
        <v>10</v>
      </c>
      <c r="F43" s="10">
        <v>6</v>
      </c>
      <c r="G43" s="10">
        <v>10</v>
      </c>
      <c r="H43" s="10">
        <v>10</v>
      </c>
      <c r="I43" s="10">
        <v>15</v>
      </c>
      <c r="J43" s="10">
        <v>10</v>
      </c>
      <c r="K43" s="10">
        <v>13</v>
      </c>
    </row>
    <row r="44" spans="1:11">
      <c r="A44" s="24" t="s">
        <v>252</v>
      </c>
      <c r="B44" s="10">
        <f>SUM(C44:K44)+SUM('[1]６(右)1'!A12:L12)</f>
        <v>221</v>
      </c>
      <c r="C44" s="10">
        <v>3</v>
      </c>
      <c r="D44" s="10">
        <v>0</v>
      </c>
      <c r="E44" s="10">
        <v>0</v>
      </c>
      <c r="F44" s="10">
        <v>3</v>
      </c>
      <c r="G44" s="10">
        <v>4</v>
      </c>
      <c r="H44" s="10">
        <v>11</v>
      </c>
      <c r="I44" s="10">
        <v>15</v>
      </c>
      <c r="J44" s="10">
        <v>7</v>
      </c>
      <c r="K44" s="10">
        <v>4</v>
      </c>
    </row>
  </sheetData>
  <sortState ref="A2:K44">
    <sortCondition ref="D2:D44" descending="1"/>
    <sortCondition ref="E2:E44" descending="1"/>
  </sortState>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2"/>
  </sheetPr>
  <dimension ref="A1:F45"/>
  <sheetViews>
    <sheetView workbookViewId="0">
      <selection activeCell="F6" sqref="F6"/>
    </sheetView>
  </sheetViews>
  <sheetFormatPr defaultColWidth="9" defaultRowHeight="12" outlineLevelCol="5"/>
  <cols>
    <col min="1" max="1" width="26.625" style="18" customWidth="1"/>
    <col min="2" max="16383" width="9" style="17"/>
  </cols>
  <sheetData>
    <row r="1" spans="1:5">
      <c r="A1" s="2" t="s">
        <v>272</v>
      </c>
      <c r="B1" s="19" t="s">
        <v>273</v>
      </c>
      <c r="C1" s="2" t="s">
        <v>16</v>
      </c>
      <c r="D1" s="20" t="s">
        <v>17</v>
      </c>
      <c r="E1" s="21" t="s">
        <v>274</v>
      </c>
    </row>
    <row r="2" s="17" customFormat="1" spans="1:5">
      <c r="A2" s="12" t="s">
        <v>275</v>
      </c>
      <c r="B2" s="6">
        <v>6846</v>
      </c>
      <c r="C2" s="6">
        <v>3367</v>
      </c>
      <c r="D2" s="6">
        <v>3479</v>
      </c>
      <c r="E2" s="6">
        <v>761</v>
      </c>
    </row>
    <row r="3" s="17" customFormat="1" spans="1:5">
      <c r="A3" s="12" t="s">
        <v>276</v>
      </c>
      <c r="B3" s="6">
        <v>5610</v>
      </c>
      <c r="C3" s="6">
        <v>2873</v>
      </c>
      <c r="D3" s="6">
        <v>2737</v>
      </c>
      <c r="E3" s="6">
        <v>105</v>
      </c>
    </row>
    <row r="4" s="17" customFormat="1" spans="1:5">
      <c r="A4" s="12" t="s">
        <v>277</v>
      </c>
      <c r="B4" s="6">
        <v>5474</v>
      </c>
      <c r="C4" s="6">
        <v>2708</v>
      </c>
      <c r="D4" s="6">
        <v>2766</v>
      </c>
      <c r="E4" s="6">
        <v>212</v>
      </c>
    </row>
    <row r="5" s="17" customFormat="1" spans="1:5">
      <c r="A5" s="12" t="s">
        <v>278</v>
      </c>
      <c r="B5" s="6">
        <v>4965</v>
      </c>
      <c r="C5" s="6">
        <v>2404</v>
      </c>
      <c r="D5" s="6">
        <v>2561</v>
      </c>
      <c r="E5" s="6">
        <v>193</v>
      </c>
    </row>
    <row r="6" s="17" customFormat="1" spans="1:5">
      <c r="A6" s="12" t="s">
        <v>279</v>
      </c>
      <c r="B6" s="6">
        <v>4837</v>
      </c>
      <c r="C6" s="6">
        <v>2366</v>
      </c>
      <c r="D6" s="6">
        <v>2471</v>
      </c>
      <c r="E6" s="6">
        <v>135</v>
      </c>
    </row>
    <row r="7" s="17" customFormat="1" spans="1:5">
      <c r="A7" s="12" t="s">
        <v>280</v>
      </c>
      <c r="B7" s="6">
        <v>4728</v>
      </c>
      <c r="C7" s="6">
        <v>2295</v>
      </c>
      <c r="D7" s="6">
        <v>2433</v>
      </c>
      <c r="E7" s="6">
        <v>492</v>
      </c>
    </row>
    <row r="8" s="17" customFormat="1" spans="1:5">
      <c r="A8" s="12" t="s">
        <v>281</v>
      </c>
      <c r="B8" s="6">
        <v>4725</v>
      </c>
      <c r="C8" s="6">
        <v>2246</v>
      </c>
      <c r="D8" s="6">
        <v>2479</v>
      </c>
      <c r="E8" s="6">
        <v>66</v>
      </c>
    </row>
    <row r="9" s="17" customFormat="1" spans="1:5">
      <c r="A9" s="12" t="s">
        <v>282</v>
      </c>
      <c r="B9" s="6">
        <v>4698</v>
      </c>
      <c r="C9" s="6">
        <v>2257</v>
      </c>
      <c r="D9" s="6">
        <v>2441</v>
      </c>
      <c r="E9" s="6">
        <v>142</v>
      </c>
    </row>
    <row r="10" s="17" customFormat="1" spans="1:5">
      <c r="A10" s="12" t="s">
        <v>283</v>
      </c>
      <c r="B10" s="6">
        <v>4575</v>
      </c>
      <c r="C10" s="6">
        <v>2228</v>
      </c>
      <c r="D10" s="6">
        <v>2347</v>
      </c>
      <c r="E10" s="6">
        <v>212</v>
      </c>
    </row>
    <row r="11" s="17" customFormat="1" spans="1:5">
      <c r="A11" s="12" t="s">
        <v>25</v>
      </c>
      <c r="B11" s="6">
        <v>4540</v>
      </c>
      <c r="C11" s="6">
        <v>2243</v>
      </c>
      <c r="D11" s="6">
        <v>2297</v>
      </c>
      <c r="E11" s="6">
        <v>102</v>
      </c>
    </row>
    <row r="12" s="17" customFormat="1" spans="1:5">
      <c r="A12" s="12" t="s">
        <v>40</v>
      </c>
      <c r="B12" s="6">
        <v>4396</v>
      </c>
      <c r="C12" s="6">
        <v>2224</v>
      </c>
      <c r="D12" s="6">
        <v>2172</v>
      </c>
      <c r="E12" s="6">
        <v>355</v>
      </c>
    </row>
    <row r="13" s="17" customFormat="1" spans="1:5">
      <c r="A13" s="12" t="s">
        <v>284</v>
      </c>
      <c r="B13" s="6">
        <v>4217</v>
      </c>
      <c r="C13" s="6">
        <v>2177</v>
      </c>
      <c r="D13" s="6">
        <v>2040</v>
      </c>
      <c r="E13" s="6">
        <v>446</v>
      </c>
    </row>
    <row r="14" s="17" customFormat="1" spans="1:5">
      <c r="A14" s="12" t="s">
        <v>285</v>
      </c>
      <c r="B14" s="6">
        <v>4196</v>
      </c>
      <c r="C14" s="6">
        <v>2103</v>
      </c>
      <c r="D14" s="6">
        <v>2093</v>
      </c>
      <c r="E14" s="6">
        <v>85</v>
      </c>
    </row>
    <row r="15" s="17" customFormat="1" spans="1:5">
      <c r="A15" s="12" t="s">
        <v>286</v>
      </c>
      <c r="B15" s="6">
        <v>4192</v>
      </c>
      <c r="C15" s="6">
        <v>2065</v>
      </c>
      <c r="D15" s="6">
        <v>2127</v>
      </c>
      <c r="E15" s="6">
        <v>108</v>
      </c>
    </row>
    <row r="16" s="17" customFormat="1" spans="1:5">
      <c r="A16" s="12" t="s">
        <v>287</v>
      </c>
      <c r="B16" s="6">
        <v>4121</v>
      </c>
      <c r="C16" s="6">
        <v>2029</v>
      </c>
      <c r="D16" s="6">
        <v>2092</v>
      </c>
      <c r="E16" s="6">
        <v>84</v>
      </c>
    </row>
    <row r="17" s="17" customFormat="1" spans="1:5">
      <c r="A17" s="12" t="s">
        <v>288</v>
      </c>
      <c r="B17" s="6">
        <v>4113</v>
      </c>
      <c r="C17" s="6">
        <v>1999</v>
      </c>
      <c r="D17" s="6">
        <v>2114</v>
      </c>
      <c r="E17" s="6">
        <v>46</v>
      </c>
    </row>
    <row r="18" s="17" customFormat="1" spans="1:5">
      <c r="A18" s="12" t="s">
        <v>289</v>
      </c>
      <c r="B18" s="6">
        <v>3753</v>
      </c>
      <c r="C18" s="6">
        <v>1839</v>
      </c>
      <c r="D18" s="6">
        <v>1914</v>
      </c>
      <c r="E18" s="6">
        <v>77</v>
      </c>
    </row>
    <row r="19" s="17" customFormat="1" spans="1:5">
      <c r="A19" s="12" t="s">
        <v>290</v>
      </c>
      <c r="B19" s="6">
        <v>3711</v>
      </c>
      <c r="C19" s="6">
        <v>1817</v>
      </c>
      <c r="D19" s="6">
        <v>1894</v>
      </c>
      <c r="E19" s="6">
        <v>90</v>
      </c>
    </row>
    <row r="20" s="17" customFormat="1" spans="1:5">
      <c r="A20" s="12" t="s">
        <v>291</v>
      </c>
      <c r="B20" s="6">
        <v>3696</v>
      </c>
      <c r="C20" s="6">
        <v>1879</v>
      </c>
      <c r="D20" s="6">
        <v>1817</v>
      </c>
      <c r="E20" s="6">
        <v>76</v>
      </c>
    </row>
    <row r="21" s="17" customFormat="1" spans="1:5">
      <c r="A21" s="12" t="s">
        <v>292</v>
      </c>
      <c r="B21" s="6">
        <v>3558</v>
      </c>
      <c r="C21" s="6">
        <v>1817</v>
      </c>
      <c r="D21" s="6">
        <v>1741</v>
      </c>
      <c r="E21" s="6">
        <v>154</v>
      </c>
    </row>
    <row r="22" s="17" customFormat="1" spans="1:5">
      <c r="A22" s="12" t="s">
        <v>42</v>
      </c>
      <c r="B22" s="6">
        <v>3490</v>
      </c>
      <c r="C22" s="6">
        <v>1666</v>
      </c>
      <c r="D22" s="6">
        <v>1824</v>
      </c>
      <c r="E22" s="6">
        <v>158</v>
      </c>
    </row>
    <row r="23" s="17" customFormat="1" spans="1:5">
      <c r="A23" s="12" t="s">
        <v>293</v>
      </c>
      <c r="B23" s="6">
        <v>3282</v>
      </c>
      <c r="C23" s="6">
        <v>1552</v>
      </c>
      <c r="D23" s="6">
        <v>1730</v>
      </c>
      <c r="E23" s="6">
        <v>108</v>
      </c>
    </row>
    <row r="24" s="17" customFormat="1" spans="1:5">
      <c r="A24" s="12" t="s">
        <v>36</v>
      </c>
      <c r="B24" s="6">
        <v>3281</v>
      </c>
      <c r="C24" s="6">
        <v>1602</v>
      </c>
      <c r="D24" s="6">
        <v>1679</v>
      </c>
      <c r="E24" s="6">
        <v>131</v>
      </c>
    </row>
    <row r="25" s="17" customFormat="1" spans="1:5">
      <c r="A25" s="12" t="s">
        <v>294</v>
      </c>
      <c r="B25" s="6">
        <v>3200</v>
      </c>
      <c r="C25" s="6">
        <v>1587</v>
      </c>
      <c r="D25" s="6">
        <v>1613</v>
      </c>
      <c r="E25" s="6">
        <v>99</v>
      </c>
    </row>
    <row r="26" s="17" customFormat="1" spans="1:5">
      <c r="A26" s="12" t="s">
        <v>295</v>
      </c>
      <c r="B26" s="6">
        <v>3192</v>
      </c>
      <c r="C26" s="6">
        <v>1594</v>
      </c>
      <c r="D26" s="6">
        <v>1598</v>
      </c>
      <c r="E26" s="6">
        <v>83</v>
      </c>
    </row>
    <row r="27" s="17" customFormat="1" spans="1:5">
      <c r="A27" s="12" t="s">
        <v>296</v>
      </c>
      <c r="B27" s="6">
        <v>2863</v>
      </c>
      <c r="C27" s="6">
        <v>1414</v>
      </c>
      <c r="D27" s="6">
        <v>1449</v>
      </c>
      <c r="E27" s="6">
        <v>657</v>
      </c>
    </row>
    <row r="28" s="17" customFormat="1" spans="1:5">
      <c r="A28" s="12" t="s">
        <v>297</v>
      </c>
      <c r="B28" s="6">
        <v>2857</v>
      </c>
      <c r="C28" s="6">
        <v>1399</v>
      </c>
      <c r="D28" s="6">
        <v>1458</v>
      </c>
      <c r="E28" s="6">
        <v>29</v>
      </c>
    </row>
    <row r="29" s="17" customFormat="1" spans="1:5">
      <c r="A29" s="12" t="s">
        <v>27</v>
      </c>
      <c r="B29" s="6">
        <v>2678</v>
      </c>
      <c r="C29" s="6">
        <v>1313</v>
      </c>
      <c r="D29" s="6">
        <v>1365</v>
      </c>
      <c r="E29" s="6">
        <v>23</v>
      </c>
    </row>
    <row r="30" s="17" customFormat="1" spans="1:5">
      <c r="A30" s="12" t="s">
        <v>32</v>
      </c>
      <c r="B30" s="6">
        <v>2671</v>
      </c>
      <c r="C30" s="6">
        <v>1301</v>
      </c>
      <c r="D30" s="6">
        <v>1370</v>
      </c>
      <c r="E30" s="6">
        <v>254</v>
      </c>
    </row>
    <row r="31" s="17" customFormat="1" spans="1:5">
      <c r="A31" s="12" t="s">
        <v>298</v>
      </c>
      <c r="B31" s="6">
        <v>2670</v>
      </c>
      <c r="C31" s="6">
        <v>1280</v>
      </c>
      <c r="D31" s="6">
        <v>1390</v>
      </c>
      <c r="E31" s="6">
        <v>1</v>
      </c>
    </row>
    <row r="32" s="17" customFormat="1" spans="1:5">
      <c r="A32" s="12" t="s">
        <v>299</v>
      </c>
      <c r="B32" s="6">
        <v>2661</v>
      </c>
      <c r="C32" s="6">
        <v>1326</v>
      </c>
      <c r="D32" s="6">
        <v>1335</v>
      </c>
      <c r="E32" s="6">
        <v>89</v>
      </c>
    </row>
    <row r="33" s="17" customFormat="1" spans="1:5">
      <c r="A33" s="12" t="s">
        <v>34</v>
      </c>
      <c r="B33" s="6">
        <v>2566</v>
      </c>
      <c r="C33" s="6">
        <v>1281</v>
      </c>
      <c r="D33" s="6">
        <v>1285</v>
      </c>
      <c r="E33" s="6">
        <v>85</v>
      </c>
    </row>
    <row r="34" s="17" customFormat="1" spans="1:5">
      <c r="A34" s="12" t="s">
        <v>300</v>
      </c>
      <c r="B34" s="6">
        <v>2295</v>
      </c>
      <c r="C34" s="6">
        <v>1121</v>
      </c>
      <c r="D34" s="6">
        <v>1174</v>
      </c>
      <c r="E34" s="6">
        <v>20</v>
      </c>
    </row>
    <row r="35" s="17" customFormat="1" spans="1:5">
      <c r="A35" s="12" t="s">
        <v>301</v>
      </c>
      <c r="B35" s="6">
        <v>2233</v>
      </c>
      <c r="C35" s="6">
        <v>1074</v>
      </c>
      <c r="D35" s="6">
        <v>1159</v>
      </c>
      <c r="E35" s="6">
        <v>21</v>
      </c>
    </row>
    <row r="36" s="17" customFormat="1" spans="1:6">
      <c r="A36" s="12" t="s">
        <v>302</v>
      </c>
      <c r="B36" s="6">
        <v>2207</v>
      </c>
      <c r="C36" s="6">
        <v>1097</v>
      </c>
      <c r="D36" s="6">
        <v>1110</v>
      </c>
      <c r="E36" s="6">
        <v>62</v>
      </c>
      <c r="F36" s="12"/>
    </row>
    <row r="37" s="17" customFormat="1" spans="1:5">
      <c r="A37" s="12" t="s">
        <v>303</v>
      </c>
      <c r="B37" s="6">
        <v>2102</v>
      </c>
      <c r="C37" s="6">
        <v>1047</v>
      </c>
      <c r="D37" s="6">
        <v>1055</v>
      </c>
      <c r="E37" s="6">
        <v>54</v>
      </c>
    </row>
    <row r="38" s="17" customFormat="1" spans="1:5">
      <c r="A38" s="12" t="s">
        <v>38</v>
      </c>
      <c r="B38" s="6">
        <v>2097</v>
      </c>
      <c r="C38" s="6">
        <v>1011</v>
      </c>
      <c r="D38" s="6">
        <v>1086</v>
      </c>
      <c r="E38" s="6">
        <v>50</v>
      </c>
    </row>
    <row r="39" s="17" customFormat="1" spans="1:5">
      <c r="A39" s="12" t="s">
        <v>46</v>
      </c>
      <c r="B39" s="6">
        <v>1912</v>
      </c>
      <c r="C39" s="6">
        <v>917</v>
      </c>
      <c r="D39" s="6">
        <v>995</v>
      </c>
      <c r="E39" s="6">
        <v>17</v>
      </c>
    </row>
    <row r="40" s="17" customFormat="1" spans="1:5">
      <c r="A40" s="12" t="s">
        <v>304</v>
      </c>
      <c r="B40" s="6">
        <v>1810</v>
      </c>
      <c r="C40" s="6">
        <v>892</v>
      </c>
      <c r="D40" s="6">
        <v>918</v>
      </c>
      <c r="E40" s="6">
        <v>79</v>
      </c>
    </row>
    <row r="41" s="17" customFormat="1" spans="1:5">
      <c r="A41" s="12" t="s">
        <v>305</v>
      </c>
      <c r="B41" s="6">
        <v>1752</v>
      </c>
      <c r="C41" s="6">
        <v>850</v>
      </c>
      <c r="D41" s="6">
        <v>902</v>
      </c>
      <c r="E41" s="6">
        <v>26</v>
      </c>
    </row>
    <row r="42" s="17" customFormat="1" spans="1:5">
      <c r="A42" s="12" t="s">
        <v>306</v>
      </c>
      <c r="B42" s="6">
        <v>1746</v>
      </c>
      <c r="C42" s="6">
        <v>826</v>
      </c>
      <c r="D42" s="6">
        <v>920</v>
      </c>
      <c r="E42" s="6">
        <v>13</v>
      </c>
    </row>
    <row r="43" s="17" customFormat="1" spans="1:5">
      <c r="A43" s="12" t="s">
        <v>307</v>
      </c>
      <c r="B43" s="6">
        <v>1595</v>
      </c>
      <c r="C43" s="6">
        <v>800</v>
      </c>
      <c r="D43" s="6">
        <v>795</v>
      </c>
      <c r="E43" s="6">
        <v>35</v>
      </c>
    </row>
    <row r="44" s="17" customFormat="1" spans="1:5">
      <c r="A44" s="12" t="s">
        <v>308</v>
      </c>
      <c r="B44" s="6">
        <v>1431</v>
      </c>
      <c r="C44" s="6">
        <v>737</v>
      </c>
      <c r="D44" s="6">
        <v>694</v>
      </c>
      <c r="E44" s="6">
        <v>8</v>
      </c>
    </row>
    <row r="45" s="17" customFormat="1" spans="1:5">
      <c r="A45" s="12" t="s">
        <v>309</v>
      </c>
      <c r="B45" s="6">
        <v>1101</v>
      </c>
      <c r="C45" s="6">
        <v>536</v>
      </c>
      <c r="D45" s="6">
        <v>565</v>
      </c>
      <c r="E45" s="6">
        <v>-5</v>
      </c>
    </row>
  </sheetData>
  <sortState ref="A2:E45">
    <sortCondition ref="B2:B45" descending="1"/>
  </sortState>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C000"/>
  </sheetPr>
  <dimension ref="A1:I127"/>
  <sheetViews>
    <sheetView tabSelected="1" workbookViewId="0">
      <selection activeCell="H119" sqref="H119"/>
    </sheetView>
  </sheetViews>
  <sheetFormatPr defaultColWidth="10" defaultRowHeight="12"/>
  <cols>
    <col min="1" max="1" width="16.125" style="1" customWidth="1"/>
    <col min="2" max="6" width="10" style="1" customWidth="1"/>
    <col min="7" max="8" width="9.375" style="1" customWidth="1"/>
    <col min="9" max="9" width="21" style="1" customWidth="1"/>
    <col min="10" max="16384" width="10" style="1" customWidth="1"/>
  </cols>
  <sheetData>
    <row r="1" ht="13.5" spans="1:9">
      <c r="A1"/>
      <c r="B1"/>
      <c r="C1"/>
      <c r="D1"/>
      <c r="E1"/>
      <c r="F1"/>
      <c r="G1"/>
      <c r="H1"/>
      <c r="I1"/>
    </row>
    <row r="2" ht="13.5" spans="1:9">
      <c r="A2"/>
      <c r="B2"/>
      <c r="C2"/>
      <c r="D2"/>
      <c r="E2"/>
      <c r="F2"/>
      <c r="G2"/>
      <c r="H2"/>
      <c r="I2"/>
    </row>
    <row r="3" ht="13.5" spans="1:9">
      <c r="A3"/>
      <c r="B3"/>
      <c r="C3"/>
      <c r="D3"/>
      <c r="E3"/>
      <c r="F3"/>
      <c r="G3"/>
      <c r="H3"/>
      <c r="I3"/>
    </row>
    <row r="4" ht="13.5" spans="1:9">
      <c r="A4"/>
      <c r="B4"/>
      <c r="C4"/>
      <c r="D4"/>
      <c r="E4"/>
      <c r="F4"/>
      <c r="G4"/>
      <c r="H4"/>
      <c r="I4"/>
    </row>
    <row r="5" ht="13.5" spans="1:9">
      <c r="A5"/>
      <c r="B5"/>
      <c r="C5"/>
      <c r="D5"/>
      <c r="E5"/>
      <c r="F5"/>
      <c r="G5"/>
      <c r="H5"/>
      <c r="I5"/>
    </row>
    <row r="6" ht="13.5" spans="1:9">
      <c r="A6" s="2" t="s">
        <v>14</v>
      </c>
      <c r="B6" s="2" t="s">
        <v>15</v>
      </c>
      <c r="C6" s="2" t="s">
        <v>16</v>
      </c>
      <c r="D6" s="2" t="s">
        <v>17</v>
      </c>
      <c r="E6" s="2" t="s">
        <v>18</v>
      </c>
      <c r="F6" s="3" t="s">
        <v>19</v>
      </c>
      <c r="G6" s="4" t="s">
        <v>20</v>
      </c>
      <c r="H6" s="4" t="s">
        <v>21</v>
      </c>
      <c r="I6" s="15" t="s">
        <v>22</v>
      </c>
    </row>
    <row r="7" ht="13.5" spans="1:9">
      <c r="A7" s="5" t="s">
        <v>23</v>
      </c>
      <c r="B7" s="6">
        <v>5879</v>
      </c>
      <c r="C7" s="6">
        <v>6871</v>
      </c>
      <c r="D7" s="6">
        <v>6858</v>
      </c>
      <c r="E7" s="6">
        <v>13729</v>
      </c>
      <c r="F7" s="7">
        <v>2.33526109882633</v>
      </c>
      <c r="G7" s="8"/>
      <c r="H7" s="8"/>
      <c r="I7" s="16" t="s">
        <v>25</v>
      </c>
    </row>
    <row r="8" spans="1:9">
      <c r="A8" s="9" t="s">
        <v>26</v>
      </c>
      <c r="B8" s="6">
        <v>2728</v>
      </c>
      <c r="C8" s="6">
        <v>3083</v>
      </c>
      <c r="D8" s="6">
        <v>3160</v>
      </c>
      <c r="E8" s="6">
        <v>6243</v>
      </c>
      <c r="F8" s="7">
        <v>2.28848973607038</v>
      </c>
      <c r="G8" s="10">
        <v>257</v>
      </c>
      <c r="H8" s="10">
        <v>244</v>
      </c>
      <c r="I8" s="16" t="s">
        <v>27</v>
      </c>
    </row>
    <row r="9" ht="13.5" spans="1:9">
      <c r="A9" s="5" t="s">
        <v>28</v>
      </c>
      <c r="B9" s="6">
        <v>2329</v>
      </c>
      <c r="C9" s="6">
        <v>2864</v>
      </c>
      <c r="D9" s="6">
        <v>2823</v>
      </c>
      <c r="E9" s="11">
        <v>5687</v>
      </c>
      <c r="F9" s="7">
        <v>2.44182052382997</v>
      </c>
      <c r="G9" s="8"/>
      <c r="H9" s="8"/>
      <c r="I9" s="8"/>
    </row>
    <row r="10" ht="13.5" spans="1:9">
      <c r="A10" s="5" t="s">
        <v>29</v>
      </c>
      <c r="B10" s="6">
        <v>2292</v>
      </c>
      <c r="C10" s="6">
        <v>3044</v>
      </c>
      <c r="D10" s="6">
        <v>3048</v>
      </c>
      <c r="E10" s="11">
        <v>6092</v>
      </c>
      <c r="F10" s="7">
        <v>2.65794066317627</v>
      </c>
      <c r="G10" s="8"/>
      <c r="H10" s="8"/>
      <c r="I10" s="8"/>
    </row>
    <row r="11" ht="13.5" spans="1:9">
      <c r="A11" s="5" t="s">
        <v>30</v>
      </c>
      <c r="B11" s="6">
        <v>2224</v>
      </c>
      <c r="C11" s="6">
        <v>2824</v>
      </c>
      <c r="D11" s="6">
        <v>2886</v>
      </c>
      <c r="E11" s="11">
        <v>5710</v>
      </c>
      <c r="F11" s="7">
        <v>2.56744604316547</v>
      </c>
      <c r="G11" s="8"/>
      <c r="H11" s="8"/>
      <c r="I11" s="8"/>
    </row>
    <row r="12" spans="1:9">
      <c r="A12" s="5" t="s">
        <v>31</v>
      </c>
      <c r="B12" s="6">
        <v>2120</v>
      </c>
      <c r="C12" s="6">
        <v>2619</v>
      </c>
      <c r="D12" s="6">
        <v>2664</v>
      </c>
      <c r="E12" s="6">
        <v>5283</v>
      </c>
      <c r="F12" s="7">
        <v>2.49198113207547</v>
      </c>
      <c r="G12" s="10">
        <v>348</v>
      </c>
      <c r="H12" s="10">
        <v>255</v>
      </c>
      <c r="I12" s="16" t="s">
        <v>32</v>
      </c>
    </row>
    <row r="13" ht="13.5" spans="1:9">
      <c r="A13" s="12" t="s">
        <v>33</v>
      </c>
      <c r="B13" s="6">
        <v>1755</v>
      </c>
      <c r="C13" s="6">
        <v>2036</v>
      </c>
      <c r="D13" s="6">
        <v>2072</v>
      </c>
      <c r="E13" s="11">
        <v>4108</v>
      </c>
      <c r="F13" s="7">
        <v>2.34074074074074</v>
      </c>
      <c r="G13" s="8"/>
      <c r="H13" s="8"/>
      <c r="I13" s="16" t="s">
        <v>34</v>
      </c>
    </row>
    <row r="14" ht="13.5" spans="1:9">
      <c r="A14" s="12" t="s">
        <v>35</v>
      </c>
      <c r="B14" s="6">
        <v>1744</v>
      </c>
      <c r="C14" s="6">
        <v>1970</v>
      </c>
      <c r="D14" s="6">
        <v>2049</v>
      </c>
      <c r="E14" s="11">
        <v>4019</v>
      </c>
      <c r="F14" s="7">
        <v>2.30447247706422</v>
      </c>
      <c r="G14" s="8"/>
      <c r="H14" s="8"/>
      <c r="I14" s="16" t="s">
        <v>36</v>
      </c>
    </row>
    <row r="15" ht="13.5" spans="1:9">
      <c r="A15" s="12" t="s">
        <v>37</v>
      </c>
      <c r="B15" s="6">
        <v>1402</v>
      </c>
      <c r="C15" s="6">
        <v>1604</v>
      </c>
      <c r="D15" s="6">
        <v>1636</v>
      </c>
      <c r="E15" s="11">
        <v>3240</v>
      </c>
      <c r="F15" s="7">
        <v>2.31098430813124</v>
      </c>
      <c r="G15" s="8"/>
      <c r="H15" s="8"/>
      <c r="I15" s="16" t="s">
        <v>38</v>
      </c>
    </row>
    <row r="16" spans="1:9">
      <c r="A16" s="12" t="s">
        <v>39</v>
      </c>
      <c r="B16" s="6">
        <v>1392</v>
      </c>
      <c r="C16" s="6">
        <v>1527</v>
      </c>
      <c r="D16" s="6">
        <v>1505</v>
      </c>
      <c r="E16" s="6">
        <v>3032</v>
      </c>
      <c r="F16" s="7">
        <v>2.17816091954023</v>
      </c>
      <c r="G16" s="10">
        <v>87</v>
      </c>
      <c r="H16" s="10">
        <v>58</v>
      </c>
      <c r="I16" s="16" t="s">
        <v>40</v>
      </c>
    </row>
    <row r="17" ht="13.5" spans="1:9">
      <c r="A17" s="12" t="s">
        <v>41</v>
      </c>
      <c r="B17" s="6">
        <v>1348</v>
      </c>
      <c r="C17" s="6">
        <v>1527</v>
      </c>
      <c r="D17" s="6">
        <v>1608</v>
      </c>
      <c r="E17" s="11">
        <v>3135</v>
      </c>
      <c r="F17" s="7">
        <v>2.32566765578635</v>
      </c>
      <c r="G17" s="8"/>
      <c r="H17" s="8"/>
      <c r="I17" s="16" t="s">
        <v>42</v>
      </c>
    </row>
    <row r="18" spans="1:9">
      <c r="A18" s="12" t="s">
        <v>43</v>
      </c>
      <c r="B18" s="6">
        <v>1328</v>
      </c>
      <c r="C18" s="6">
        <v>1337</v>
      </c>
      <c r="D18" s="6">
        <v>1231</v>
      </c>
      <c r="E18" s="6">
        <v>2568</v>
      </c>
      <c r="F18" s="7">
        <v>1.93373493975904</v>
      </c>
      <c r="G18" s="10">
        <v>122</v>
      </c>
      <c r="H18" s="10">
        <v>72</v>
      </c>
      <c r="I18" s="16" t="s">
        <v>40</v>
      </c>
    </row>
    <row r="19" ht="13.5" spans="1:9">
      <c r="A19" s="12" t="s">
        <v>44</v>
      </c>
      <c r="B19" s="6">
        <v>1285</v>
      </c>
      <c r="C19" s="6">
        <v>1545</v>
      </c>
      <c r="D19" s="6">
        <v>1640</v>
      </c>
      <c r="E19" s="11">
        <v>3185</v>
      </c>
      <c r="F19" s="7">
        <v>2.47859922178988</v>
      </c>
      <c r="G19" s="8"/>
      <c r="H19" s="8"/>
      <c r="I19" s="16" t="s">
        <v>42</v>
      </c>
    </row>
    <row r="20" ht="13.5" spans="1:9">
      <c r="A20" s="12" t="s">
        <v>45</v>
      </c>
      <c r="B20" s="6">
        <v>1264</v>
      </c>
      <c r="C20" s="6">
        <v>1265</v>
      </c>
      <c r="D20" s="6">
        <v>1343</v>
      </c>
      <c r="E20" s="6">
        <v>2608</v>
      </c>
      <c r="F20" s="7">
        <v>2.06329113924051</v>
      </c>
      <c r="G20" s="8"/>
      <c r="H20" s="8"/>
      <c r="I20" s="16" t="s">
        <v>46</v>
      </c>
    </row>
    <row r="21" ht="13.5" spans="1:9">
      <c r="A21" s="12" t="s">
        <v>47</v>
      </c>
      <c r="B21" s="6">
        <v>1223</v>
      </c>
      <c r="C21" s="6">
        <v>1409</v>
      </c>
      <c r="D21" s="6">
        <v>1434</v>
      </c>
      <c r="E21" s="11">
        <v>2843</v>
      </c>
      <c r="F21" s="7">
        <v>2.32461161079313</v>
      </c>
      <c r="G21" s="8"/>
      <c r="H21" s="8"/>
      <c r="I21" s="16" t="s">
        <v>38</v>
      </c>
    </row>
    <row r="22" ht="13.5" spans="1:9">
      <c r="A22" s="13" t="s">
        <v>48</v>
      </c>
      <c r="B22" s="6">
        <v>1190</v>
      </c>
      <c r="C22" s="6">
        <v>1598</v>
      </c>
      <c r="D22" s="6">
        <v>1654</v>
      </c>
      <c r="E22" s="6">
        <v>3252</v>
      </c>
      <c r="F22" s="7">
        <v>2.7327731092437</v>
      </c>
      <c r="G22" s="10">
        <v>228</v>
      </c>
      <c r="H22" s="10">
        <v>102</v>
      </c>
      <c r="I22" s="8"/>
    </row>
    <row r="23" ht="13.5" spans="1:9">
      <c r="A23" s="12" t="s">
        <v>157</v>
      </c>
      <c r="B23" s="6">
        <v>1143</v>
      </c>
      <c r="C23" s="6">
        <v>1242</v>
      </c>
      <c r="D23" s="6">
        <v>1217</v>
      </c>
      <c r="E23" s="11">
        <v>2459</v>
      </c>
      <c r="F23" s="7">
        <v>2.15135608048994</v>
      </c>
      <c r="G23" s="8"/>
      <c r="H23" s="8"/>
      <c r="I23" s="8"/>
    </row>
    <row r="24" ht="13.5" spans="1:9">
      <c r="A24" s="12" t="s">
        <v>158</v>
      </c>
      <c r="B24" s="6">
        <v>1139</v>
      </c>
      <c r="C24" s="6">
        <v>1163</v>
      </c>
      <c r="D24" s="6">
        <v>1280</v>
      </c>
      <c r="E24" s="11">
        <v>2443</v>
      </c>
      <c r="F24" s="7">
        <v>2.14486391571554</v>
      </c>
      <c r="G24" s="8"/>
      <c r="H24" s="8"/>
      <c r="I24" s="16" t="s">
        <v>38</v>
      </c>
    </row>
    <row r="25" ht="13.5" spans="1:9">
      <c r="A25" s="12" t="s">
        <v>159</v>
      </c>
      <c r="B25" s="6">
        <v>1077</v>
      </c>
      <c r="C25" s="6">
        <v>1209</v>
      </c>
      <c r="D25" s="6">
        <v>1218</v>
      </c>
      <c r="E25" s="11">
        <v>2427</v>
      </c>
      <c r="F25" s="7">
        <v>2.25348189415042</v>
      </c>
      <c r="G25" s="8"/>
      <c r="H25" s="8"/>
      <c r="I25" s="16" t="s">
        <v>36</v>
      </c>
    </row>
    <row r="26" spans="1:9">
      <c r="A26" s="12" t="s">
        <v>160</v>
      </c>
      <c r="B26" s="6">
        <v>1076</v>
      </c>
      <c r="C26" s="6">
        <v>1289</v>
      </c>
      <c r="D26" s="6">
        <v>1251</v>
      </c>
      <c r="E26" s="6">
        <v>2540</v>
      </c>
      <c r="F26" s="7">
        <v>2.36059479553903</v>
      </c>
      <c r="G26" s="10">
        <v>101</v>
      </c>
      <c r="H26" s="10">
        <v>81</v>
      </c>
      <c r="I26" s="16" t="s">
        <v>40</v>
      </c>
    </row>
    <row r="27" ht="13.5" spans="1:9">
      <c r="A27" s="12" t="s">
        <v>161</v>
      </c>
      <c r="B27" s="6">
        <v>1071</v>
      </c>
      <c r="C27" s="6">
        <v>1256</v>
      </c>
      <c r="D27" s="6">
        <v>1316</v>
      </c>
      <c r="E27" s="11">
        <v>2572</v>
      </c>
      <c r="F27" s="7">
        <v>2.4014939309057</v>
      </c>
      <c r="G27" s="8"/>
      <c r="H27" s="8"/>
      <c r="I27" s="16" t="s">
        <v>36</v>
      </c>
    </row>
    <row r="28" spans="1:9">
      <c r="A28" s="12" t="s">
        <v>162</v>
      </c>
      <c r="B28" s="6">
        <v>1070</v>
      </c>
      <c r="C28" s="6">
        <v>1069</v>
      </c>
      <c r="D28" s="6">
        <v>982</v>
      </c>
      <c r="E28" s="6">
        <v>2051</v>
      </c>
      <c r="F28" s="7">
        <v>1.91682242990654</v>
      </c>
      <c r="G28" s="10">
        <v>13</v>
      </c>
      <c r="H28" s="10">
        <v>20</v>
      </c>
      <c r="I28" s="16" t="s">
        <v>40</v>
      </c>
    </row>
    <row r="29" ht="13.5" spans="1:9">
      <c r="A29" s="12" t="s">
        <v>163</v>
      </c>
      <c r="B29" s="6">
        <v>1068</v>
      </c>
      <c r="C29" s="6">
        <v>1220</v>
      </c>
      <c r="D29" s="6">
        <v>1244</v>
      </c>
      <c r="E29" s="11">
        <v>2464</v>
      </c>
      <c r="F29" s="7">
        <v>2.30711610486891</v>
      </c>
      <c r="G29" s="8"/>
      <c r="H29" s="8"/>
      <c r="I29" s="16" t="s">
        <v>285</v>
      </c>
    </row>
    <row r="30" spans="1:9">
      <c r="A30" s="12" t="s">
        <v>164</v>
      </c>
      <c r="B30" s="6">
        <v>1063</v>
      </c>
      <c r="C30" s="6">
        <v>1258</v>
      </c>
      <c r="D30" s="6">
        <v>1238</v>
      </c>
      <c r="E30" s="6">
        <v>2496</v>
      </c>
      <c r="F30" s="7">
        <v>2.3480714957667</v>
      </c>
      <c r="G30" s="10">
        <v>55</v>
      </c>
      <c r="H30" s="10">
        <v>38</v>
      </c>
      <c r="I30" s="16" t="s">
        <v>40</v>
      </c>
    </row>
    <row r="31" ht="13.5" spans="1:9">
      <c r="A31" s="12" t="s">
        <v>165</v>
      </c>
      <c r="B31" s="6">
        <v>1062</v>
      </c>
      <c r="C31" s="6">
        <v>1300</v>
      </c>
      <c r="D31" s="6">
        <v>1325</v>
      </c>
      <c r="E31" s="11">
        <v>2625</v>
      </c>
      <c r="F31" s="7">
        <v>2.47175141242938</v>
      </c>
      <c r="G31" s="8"/>
      <c r="H31" s="8"/>
      <c r="I31" s="16" t="s">
        <v>42</v>
      </c>
    </row>
    <row r="32" ht="13.5" spans="1:9">
      <c r="A32" s="12" t="s">
        <v>166</v>
      </c>
      <c r="B32" s="6">
        <v>1034</v>
      </c>
      <c r="C32" s="6">
        <v>1250</v>
      </c>
      <c r="D32" s="6">
        <v>1288</v>
      </c>
      <c r="E32" s="11">
        <v>2538</v>
      </c>
      <c r="F32" s="7">
        <v>2.45454545454545</v>
      </c>
      <c r="G32" s="8"/>
      <c r="H32" s="8"/>
      <c r="I32" s="16" t="s">
        <v>287</v>
      </c>
    </row>
    <row r="33" ht="13.5" spans="1:9">
      <c r="A33" s="12" t="s">
        <v>167</v>
      </c>
      <c r="B33" s="6">
        <v>1023</v>
      </c>
      <c r="C33" s="6">
        <v>1272</v>
      </c>
      <c r="D33" s="6">
        <v>1228</v>
      </c>
      <c r="E33" s="11">
        <v>2500</v>
      </c>
      <c r="F33" s="7">
        <v>2.44379276637341</v>
      </c>
      <c r="G33" s="8"/>
      <c r="H33" s="8"/>
      <c r="I33" s="8"/>
    </row>
    <row r="34" ht="13.5" spans="1:9">
      <c r="A34" s="12" t="s">
        <v>168</v>
      </c>
      <c r="B34" s="6">
        <v>972</v>
      </c>
      <c r="C34" s="6">
        <v>1052</v>
      </c>
      <c r="D34" s="6">
        <v>1122</v>
      </c>
      <c r="E34" s="11">
        <v>2174</v>
      </c>
      <c r="F34" s="7">
        <v>2.23662551440329</v>
      </c>
      <c r="G34" s="8"/>
      <c r="H34" s="8"/>
      <c r="I34" s="16" t="s">
        <v>42</v>
      </c>
    </row>
    <row r="35" ht="13.5" spans="1:9">
      <c r="A35" s="12" t="s">
        <v>169</v>
      </c>
      <c r="B35" s="6">
        <v>918</v>
      </c>
      <c r="C35" s="6">
        <v>976</v>
      </c>
      <c r="D35" s="6">
        <v>1049</v>
      </c>
      <c r="E35" s="11">
        <v>2025</v>
      </c>
      <c r="F35" s="7">
        <v>2.20588235294118</v>
      </c>
      <c r="G35" s="8"/>
      <c r="H35" s="8"/>
      <c r="I35" s="8"/>
    </row>
    <row r="36" ht="13.5" spans="1:9">
      <c r="A36" s="12" t="s">
        <v>170</v>
      </c>
      <c r="B36" s="6">
        <v>909</v>
      </c>
      <c r="C36" s="6">
        <v>1030</v>
      </c>
      <c r="D36" s="6">
        <v>1080</v>
      </c>
      <c r="E36" s="11">
        <v>2110</v>
      </c>
      <c r="F36" s="7">
        <v>2.32123212321232</v>
      </c>
      <c r="G36" s="8"/>
      <c r="H36" s="8"/>
      <c r="I36" s="8"/>
    </row>
    <row r="37" ht="13.5" spans="1:9">
      <c r="A37" s="12" t="s">
        <v>171</v>
      </c>
      <c r="B37" s="6">
        <v>886</v>
      </c>
      <c r="C37" s="6">
        <v>1055</v>
      </c>
      <c r="D37" s="6">
        <v>1006</v>
      </c>
      <c r="E37" s="11">
        <v>2061</v>
      </c>
      <c r="F37" s="7">
        <v>2.32618510158014</v>
      </c>
      <c r="G37" s="8"/>
      <c r="H37" s="8"/>
      <c r="I37" s="8"/>
    </row>
    <row r="38" spans="1:9">
      <c r="A38" s="12" t="s">
        <v>172</v>
      </c>
      <c r="B38" s="6">
        <v>881</v>
      </c>
      <c r="C38" s="6">
        <v>858</v>
      </c>
      <c r="D38" s="6">
        <v>826</v>
      </c>
      <c r="E38" s="6">
        <v>1684</v>
      </c>
      <c r="F38" s="7">
        <v>1.91146424517594</v>
      </c>
      <c r="G38" s="10">
        <v>24</v>
      </c>
      <c r="H38" s="10">
        <v>17</v>
      </c>
      <c r="I38" s="16" t="s">
        <v>40</v>
      </c>
    </row>
    <row r="39" ht="13.5" spans="1:9">
      <c r="A39" s="12" t="s">
        <v>173</v>
      </c>
      <c r="B39" s="6">
        <v>803</v>
      </c>
      <c r="C39" s="6">
        <v>935</v>
      </c>
      <c r="D39" s="6">
        <v>1010</v>
      </c>
      <c r="E39" s="6">
        <v>1945</v>
      </c>
      <c r="F39" s="7">
        <v>2.42216687422167</v>
      </c>
      <c r="G39" s="10">
        <v>118</v>
      </c>
      <c r="H39" s="10">
        <v>126</v>
      </c>
      <c r="I39" s="8"/>
    </row>
    <row r="40" spans="1:9">
      <c r="A40" s="12" t="s">
        <v>174</v>
      </c>
      <c r="B40" s="6">
        <v>770</v>
      </c>
      <c r="C40" s="6">
        <v>749</v>
      </c>
      <c r="D40" s="6">
        <v>760</v>
      </c>
      <c r="E40" s="6">
        <v>1509</v>
      </c>
      <c r="F40" s="7">
        <v>1.95974025974026</v>
      </c>
      <c r="G40" s="10">
        <v>61</v>
      </c>
      <c r="H40" s="10">
        <v>61</v>
      </c>
      <c r="I40" s="16" t="s">
        <v>40</v>
      </c>
    </row>
    <row r="41" ht="13.5" spans="1:9">
      <c r="A41" s="12" t="s">
        <v>175</v>
      </c>
      <c r="B41" s="6">
        <v>769</v>
      </c>
      <c r="C41" s="6">
        <v>965</v>
      </c>
      <c r="D41" s="6">
        <v>972</v>
      </c>
      <c r="E41" s="6">
        <v>1937</v>
      </c>
      <c r="F41" s="7">
        <v>2.51885565669701</v>
      </c>
      <c r="G41" s="10">
        <v>56</v>
      </c>
      <c r="H41" s="10">
        <v>85</v>
      </c>
      <c r="I41" s="8"/>
    </row>
    <row r="42" ht="13.5" spans="1:9">
      <c r="A42" s="12" t="s">
        <v>176</v>
      </c>
      <c r="B42" s="6">
        <v>768</v>
      </c>
      <c r="C42" s="6">
        <v>901</v>
      </c>
      <c r="D42" s="6">
        <v>938</v>
      </c>
      <c r="E42" s="11">
        <v>1839</v>
      </c>
      <c r="F42" s="7">
        <v>2.39453125</v>
      </c>
      <c r="G42" s="8"/>
      <c r="H42" s="8"/>
      <c r="I42" s="8"/>
    </row>
    <row r="43" ht="13.5" spans="1:9">
      <c r="A43" s="12" t="s">
        <v>177</v>
      </c>
      <c r="B43" s="6">
        <v>756</v>
      </c>
      <c r="C43" s="6">
        <v>884</v>
      </c>
      <c r="D43" s="6">
        <v>919</v>
      </c>
      <c r="E43" s="6">
        <v>1803</v>
      </c>
      <c r="F43" s="7">
        <v>2.38492063492063</v>
      </c>
      <c r="G43" s="10">
        <v>70</v>
      </c>
      <c r="H43" s="10">
        <v>50</v>
      </c>
      <c r="I43" s="8"/>
    </row>
    <row r="44" ht="13.5" spans="1:9">
      <c r="A44" s="12" t="s">
        <v>178</v>
      </c>
      <c r="B44" s="6">
        <v>751</v>
      </c>
      <c r="C44" s="6">
        <v>803</v>
      </c>
      <c r="D44" s="6">
        <v>859</v>
      </c>
      <c r="E44" s="11">
        <v>1662</v>
      </c>
      <c r="F44" s="7">
        <v>2.21304926764314</v>
      </c>
      <c r="G44" s="8"/>
      <c r="H44" s="8"/>
      <c r="I44" s="8"/>
    </row>
    <row r="45" ht="13.5" spans="1:9">
      <c r="A45" s="12" t="s">
        <v>179</v>
      </c>
      <c r="B45" s="6">
        <v>741</v>
      </c>
      <c r="C45" s="6">
        <v>875</v>
      </c>
      <c r="D45" s="6">
        <v>884</v>
      </c>
      <c r="E45" s="11">
        <v>1759</v>
      </c>
      <c r="F45" s="7">
        <v>2.37381916329285</v>
      </c>
      <c r="G45" s="8"/>
      <c r="H45" s="8"/>
      <c r="I45" s="8"/>
    </row>
    <row r="46" ht="13.5" spans="1:9">
      <c r="A46" s="12" t="s">
        <v>180</v>
      </c>
      <c r="B46" s="6">
        <v>712</v>
      </c>
      <c r="C46" s="6">
        <v>838</v>
      </c>
      <c r="D46" s="6">
        <v>851</v>
      </c>
      <c r="E46" s="11">
        <v>1689</v>
      </c>
      <c r="F46" s="7">
        <v>2.37219101123596</v>
      </c>
      <c r="G46" s="8"/>
      <c r="H46" s="8"/>
      <c r="I46" s="16" t="s">
        <v>42</v>
      </c>
    </row>
    <row r="47" ht="13.5" spans="1:9">
      <c r="A47" s="12" t="s">
        <v>181</v>
      </c>
      <c r="B47" s="6">
        <v>685</v>
      </c>
      <c r="C47" s="6">
        <v>778</v>
      </c>
      <c r="D47" s="6">
        <v>826</v>
      </c>
      <c r="E47" s="6">
        <v>1604</v>
      </c>
      <c r="F47" s="7">
        <v>2.34160583941606</v>
      </c>
      <c r="G47" s="10">
        <v>115</v>
      </c>
      <c r="H47" s="10">
        <v>132</v>
      </c>
      <c r="I47" s="8"/>
    </row>
    <row r="48" ht="13.5" spans="1:9">
      <c r="A48" s="12" t="s">
        <v>182</v>
      </c>
      <c r="B48" s="6">
        <v>663</v>
      </c>
      <c r="C48" s="6">
        <v>723</v>
      </c>
      <c r="D48" s="6">
        <v>768</v>
      </c>
      <c r="E48" s="11">
        <v>1491</v>
      </c>
      <c r="F48" s="7">
        <v>2.24886877828054</v>
      </c>
      <c r="G48" s="8"/>
      <c r="H48" s="8"/>
      <c r="I48" s="16" t="s">
        <v>36</v>
      </c>
    </row>
    <row r="49" ht="13.5" spans="1:9">
      <c r="A49" s="12" t="s">
        <v>183</v>
      </c>
      <c r="B49" s="6">
        <v>654</v>
      </c>
      <c r="C49" s="6">
        <v>696</v>
      </c>
      <c r="D49" s="6">
        <v>708</v>
      </c>
      <c r="E49" s="11">
        <v>1404</v>
      </c>
      <c r="F49" s="7">
        <v>2.14678899082569</v>
      </c>
      <c r="G49" s="8"/>
      <c r="H49" s="8"/>
      <c r="I49" s="16" t="s">
        <v>36</v>
      </c>
    </row>
    <row r="50" ht="13.5" spans="1:9">
      <c r="A50" s="12" t="s">
        <v>184</v>
      </c>
      <c r="B50" s="6">
        <v>621</v>
      </c>
      <c r="C50" s="6">
        <v>593</v>
      </c>
      <c r="D50" s="6">
        <v>684</v>
      </c>
      <c r="E50" s="11">
        <v>1277</v>
      </c>
      <c r="F50" s="7">
        <v>2.05636070853462</v>
      </c>
      <c r="G50" s="8"/>
      <c r="H50" s="8"/>
      <c r="I50" s="8"/>
    </row>
    <row r="51" ht="13.5" spans="1:9">
      <c r="A51" s="12" t="s">
        <v>185</v>
      </c>
      <c r="B51" s="6">
        <v>612</v>
      </c>
      <c r="C51" s="6">
        <v>781</v>
      </c>
      <c r="D51" s="6">
        <v>796</v>
      </c>
      <c r="E51" s="11">
        <v>1577</v>
      </c>
      <c r="F51" s="7">
        <v>2.57679738562092</v>
      </c>
      <c r="G51" s="8"/>
      <c r="H51" s="8"/>
      <c r="I51" s="16" t="s">
        <v>36</v>
      </c>
    </row>
    <row r="52" ht="13.5" spans="1:9">
      <c r="A52" s="12" t="s">
        <v>186</v>
      </c>
      <c r="B52" s="6">
        <v>547</v>
      </c>
      <c r="C52" s="6">
        <v>528</v>
      </c>
      <c r="D52" s="6">
        <v>605</v>
      </c>
      <c r="E52" s="11">
        <v>1133</v>
      </c>
      <c r="F52" s="7">
        <v>2.07129798903108</v>
      </c>
      <c r="G52" s="8"/>
      <c r="H52" s="8"/>
      <c r="I52" s="16" t="s">
        <v>287</v>
      </c>
    </row>
    <row r="53" ht="13.5" spans="1:9">
      <c r="A53" s="12" t="s">
        <v>187</v>
      </c>
      <c r="B53" s="6">
        <v>546</v>
      </c>
      <c r="C53" s="6">
        <v>598</v>
      </c>
      <c r="D53" s="6">
        <v>672</v>
      </c>
      <c r="E53" s="11">
        <v>1270</v>
      </c>
      <c r="F53" s="7">
        <v>2.32600732600733</v>
      </c>
      <c r="G53" s="8"/>
      <c r="H53" s="8"/>
      <c r="I53" s="16" t="s">
        <v>301</v>
      </c>
    </row>
    <row r="54" ht="13.5" spans="1:9">
      <c r="A54" s="12" t="s">
        <v>310</v>
      </c>
      <c r="B54" s="6">
        <v>534</v>
      </c>
      <c r="C54" s="6">
        <v>634</v>
      </c>
      <c r="D54" s="6">
        <v>614</v>
      </c>
      <c r="E54" s="6">
        <v>1248</v>
      </c>
      <c r="F54" s="7">
        <v>2.33707865168539</v>
      </c>
      <c r="G54" s="8"/>
      <c r="H54" s="8"/>
      <c r="I54" s="8"/>
    </row>
    <row r="55" spans="1:9">
      <c r="A55" s="12" t="s">
        <v>189</v>
      </c>
      <c r="B55" s="6">
        <v>522</v>
      </c>
      <c r="C55" s="6">
        <v>541</v>
      </c>
      <c r="D55" s="6">
        <v>488</v>
      </c>
      <c r="E55" s="6">
        <v>1029</v>
      </c>
      <c r="F55" s="7">
        <v>1.97126436781609</v>
      </c>
      <c r="G55" s="10">
        <v>80</v>
      </c>
      <c r="H55" s="10">
        <v>48</v>
      </c>
      <c r="I55" s="16" t="s">
        <v>40</v>
      </c>
    </row>
    <row r="56" ht="13.5" spans="1:9">
      <c r="A56" s="14" t="s">
        <v>190</v>
      </c>
      <c r="B56" s="6">
        <v>499</v>
      </c>
      <c r="C56" s="6">
        <v>704</v>
      </c>
      <c r="D56" s="6">
        <v>748</v>
      </c>
      <c r="E56" s="6">
        <v>1452</v>
      </c>
      <c r="F56" s="7">
        <v>2.90981963927856</v>
      </c>
      <c r="G56" s="10">
        <v>110</v>
      </c>
      <c r="H56" s="10">
        <v>144</v>
      </c>
      <c r="I56" s="8"/>
    </row>
    <row r="57" ht="13.5" spans="1:9">
      <c r="A57" s="12" t="s">
        <v>191</v>
      </c>
      <c r="B57" s="6">
        <v>495</v>
      </c>
      <c r="C57" s="6">
        <v>585</v>
      </c>
      <c r="D57" s="6">
        <v>594</v>
      </c>
      <c r="E57" s="11">
        <v>1179</v>
      </c>
      <c r="F57" s="7">
        <v>2.38181818181818</v>
      </c>
      <c r="G57" s="8"/>
      <c r="H57" s="8"/>
      <c r="I57" s="16" t="s">
        <v>288</v>
      </c>
    </row>
    <row r="58" ht="13.5" spans="1:9">
      <c r="A58" s="12" t="s">
        <v>192</v>
      </c>
      <c r="B58" s="6">
        <v>495</v>
      </c>
      <c r="C58" s="6">
        <v>619</v>
      </c>
      <c r="D58" s="6">
        <v>595</v>
      </c>
      <c r="E58" s="6">
        <v>1214</v>
      </c>
      <c r="F58" s="7">
        <v>2.45252525252525</v>
      </c>
      <c r="G58" s="10">
        <v>32</v>
      </c>
      <c r="H58" s="10">
        <v>63</v>
      </c>
      <c r="I58" s="8"/>
    </row>
    <row r="59" ht="13.5" spans="1:9">
      <c r="A59" s="12" t="s">
        <v>311</v>
      </c>
      <c r="B59" s="6">
        <v>492</v>
      </c>
      <c r="C59" s="6">
        <v>616</v>
      </c>
      <c r="D59" s="6">
        <v>632</v>
      </c>
      <c r="E59" s="6">
        <v>1248</v>
      </c>
      <c r="F59" s="7">
        <v>2.53658536585366</v>
      </c>
      <c r="G59" s="8"/>
      <c r="H59" s="8"/>
      <c r="I59" s="8"/>
    </row>
    <row r="60" ht="13.5" spans="1:9">
      <c r="A60" s="12" t="s">
        <v>194</v>
      </c>
      <c r="B60" s="6">
        <v>487</v>
      </c>
      <c r="C60" s="6">
        <v>653</v>
      </c>
      <c r="D60" s="6">
        <v>670</v>
      </c>
      <c r="E60" s="11">
        <v>1323</v>
      </c>
      <c r="F60" s="7">
        <v>2.71663244353183</v>
      </c>
      <c r="G60" s="8"/>
      <c r="H60" s="8"/>
      <c r="I60" s="16" t="s">
        <v>42</v>
      </c>
    </row>
    <row r="61" spans="1:9">
      <c r="A61" s="12" t="s">
        <v>195</v>
      </c>
      <c r="B61" s="6">
        <v>486</v>
      </c>
      <c r="C61" s="6">
        <v>586</v>
      </c>
      <c r="D61" s="6">
        <v>593</v>
      </c>
      <c r="E61" s="6">
        <v>1179</v>
      </c>
      <c r="F61" s="7">
        <v>2.42592592592593</v>
      </c>
      <c r="G61" s="10">
        <v>56</v>
      </c>
      <c r="H61" s="10">
        <v>50</v>
      </c>
      <c r="I61" s="16" t="s">
        <v>300</v>
      </c>
    </row>
    <row r="62" ht="13.5" spans="1:9">
      <c r="A62" s="12" t="s">
        <v>196</v>
      </c>
      <c r="B62" s="6">
        <v>486</v>
      </c>
      <c r="C62" s="6">
        <v>665</v>
      </c>
      <c r="D62" s="6">
        <v>655</v>
      </c>
      <c r="E62" s="11">
        <v>1320</v>
      </c>
      <c r="F62" s="7">
        <v>2.71604938271605</v>
      </c>
      <c r="G62" s="8"/>
      <c r="H62" s="8"/>
      <c r="I62" s="8"/>
    </row>
    <row r="63" ht="13.5" spans="1:9">
      <c r="A63" s="14" t="s">
        <v>197</v>
      </c>
      <c r="B63" s="6">
        <v>480</v>
      </c>
      <c r="C63" s="6">
        <v>605</v>
      </c>
      <c r="D63" s="6">
        <v>611</v>
      </c>
      <c r="E63" s="6">
        <v>1216</v>
      </c>
      <c r="F63" s="7">
        <v>2.53333333333333</v>
      </c>
      <c r="G63" s="10">
        <v>74</v>
      </c>
      <c r="H63" s="10">
        <v>76</v>
      </c>
      <c r="I63" s="8"/>
    </row>
    <row r="64" ht="13.5" spans="1:9">
      <c r="A64" s="12" t="s">
        <v>198</v>
      </c>
      <c r="B64" s="6">
        <v>477</v>
      </c>
      <c r="C64" s="6">
        <v>453</v>
      </c>
      <c r="D64" s="6">
        <v>329</v>
      </c>
      <c r="E64" s="11">
        <v>782</v>
      </c>
      <c r="F64" s="7">
        <v>1.63941299790356</v>
      </c>
      <c r="G64" s="8"/>
      <c r="H64" s="8"/>
      <c r="I64" s="16" t="s">
        <v>287</v>
      </c>
    </row>
    <row r="65" ht="13.5" spans="1:9">
      <c r="A65" s="12" t="s">
        <v>199</v>
      </c>
      <c r="B65" s="6">
        <v>471</v>
      </c>
      <c r="C65" s="6">
        <v>513</v>
      </c>
      <c r="D65" s="6">
        <v>556</v>
      </c>
      <c r="E65" s="11">
        <v>1069</v>
      </c>
      <c r="F65" s="7">
        <v>2.26963906581741</v>
      </c>
      <c r="G65" s="8"/>
      <c r="H65" s="8"/>
      <c r="I65" s="8"/>
    </row>
    <row r="66" ht="13.5" spans="1:9">
      <c r="A66" s="12" t="s">
        <v>200</v>
      </c>
      <c r="B66" s="6">
        <v>466</v>
      </c>
      <c r="C66" s="6">
        <v>500</v>
      </c>
      <c r="D66" s="6">
        <v>498</v>
      </c>
      <c r="E66" s="6">
        <v>998</v>
      </c>
      <c r="F66" s="7">
        <v>2.14163090128755</v>
      </c>
      <c r="G66" s="8"/>
      <c r="H66" s="8"/>
      <c r="I66" s="8"/>
    </row>
    <row r="67" ht="13.5" spans="1:9">
      <c r="A67" s="12" t="s">
        <v>201</v>
      </c>
      <c r="B67" s="6">
        <v>464</v>
      </c>
      <c r="C67" s="6">
        <v>578</v>
      </c>
      <c r="D67" s="6">
        <v>599</v>
      </c>
      <c r="E67" s="6">
        <v>1177</v>
      </c>
      <c r="F67" s="7">
        <v>2.53663793103448</v>
      </c>
      <c r="G67" s="10">
        <v>28</v>
      </c>
      <c r="H67" s="10">
        <v>32</v>
      </c>
      <c r="I67" s="8"/>
    </row>
    <row r="68" ht="13.5" spans="1:9">
      <c r="A68" s="12" t="s">
        <v>202</v>
      </c>
      <c r="B68" s="6">
        <v>462</v>
      </c>
      <c r="C68" s="6">
        <v>518</v>
      </c>
      <c r="D68" s="6">
        <v>577</v>
      </c>
      <c r="E68" s="11">
        <v>1095</v>
      </c>
      <c r="F68" s="7">
        <v>2.37012987012987</v>
      </c>
      <c r="G68" s="8"/>
      <c r="H68" s="8"/>
      <c r="I68" s="16" t="s">
        <v>293</v>
      </c>
    </row>
    <row r="69" ht="13.5" spans="1:9">
      <c r="A69" s="12" t="s">
        <v>203</v>
      </c>
      <c r="B69" s="6">
        <v>459</v>
      </c>
      <c r="C69" s="6">
        <v>514</v>
      </c>
      <c r="D69" s="6">
        <v>542</v>
      </c>
      <c r="E69" s="6">
        <v>1056</v>
      </c>
      <c r="F69" s="7">
        <v>2.30065359477124</v>
      </c>
      <c r="G69" s="10">
        <v>36</v>
      </c>
      <c r="H69" s="10">
        <v>36</v>
      </c>
      <c r="I69" s="8"/>
    </row>
    <row r="70" ht="13.5" spans="1:9">
      <c r="A70" s="12" t="s">
        <v>204</v>
      </c>
      <c r="B70" s="6">
        <v>453</v>
      </c>
      <c r="C70" s="6">
        <v>525</v>
      </c>
      <c r="D70" s="6">
        <v>516</v>
      </c>
      <c r="E70" s="6">
        <v>1041</v>
      </c>
      <c r="F70" s="7">
        <v>2.29801324503311</v>
      </c>
      <c r="G70" s="8"/>
      <c r="H70" s="8"/>
      <c r="I70" s="8"/>
    </row>
    <row r="71" ht="13.5" spans="1:9">
      <c r="A71" s="12" t="s">
        <v>205</v>
      </c>
      <c r="B71" s="6">
        <v>445</v>
      </c>
      <c r="C71" s="6">
        <v>480</v>
      </c>
      <c r="D71" s="6">
        <v>519</v>
      </c>
      <c r="E71" s="11">
        <v>999</v>
      </c>
      <c r="F71" s="7">
        <v>2.24494382022472</v>
      </c>
      <c r="G71" s="8"/>
      <c r="H71" s="8"/>
      <c r="I71" s="16" t="s">
        <v>293</v>
      </c>
    </row>
    <row r="72" ht="13.5" spans="1:9">
      <c r="A72" s="12" t="s">
        <v>206</v>
      </c>
      <c r="B72" s="6">
        <v>436</v>
      </c>
      <c r="C72" s="6">
        <v>449</v>
      </c>
      <c r="D72" s="6">
        <v>476</v>
      </c>
      <c r="E72" s="11">
        <v>925</v>
      </c>
      <c r="F72" s="7">
        <v>2.12155963302752</v>
      </c>
      <c r="G72" s="8"/>
      <c r="H72" s="8"/>
      <c r="I72" s="8"/>
    </row>
    <row r="73" ht="13.5" spans="1:9">
      <c r="A73" s="12" t="s">
        <v>207</v>
      </c>
      <c r="B73" s="6">
        <v>433</v>
      </c>
      <c r="C73" s="6">
        <v>391</v>
      </c>
      <c r="D73" s="6">
        <v>344</v>
      </c>
      <c r="E73" s="11">
        <v>735</v>
      </c>
      <c r="F73" s="7">
        <v>1.69745958429561</v>
      </c>
      <c r="G73" s="8"/>
      <c r="H73" s="8"/>
      <c r="I73" s="8"/>
    </row>
    <row r="74" ht="13.5" spans="1:9">
      <c r="A74" s="12" t="s">
        <v>208</v>
      </c>
      <c r="B74" s="6">
        <v>430</v>
      </c>
      <c r="C74" s="6">
        <v>417</v>
      </c>
      <c r="D74" s="6">
        <v>464</v>
      </c>
      <c r="E74" s="11">
        <v>881</v>
      </c>
      <c r="F74" s="7">
        <v>2.04883720930233</v>
      </c>
      <c r="G74" s="8"/>
      <c r="H74" s="8"/>
      <c r="I74" s="16" t="s">
        <v>293</v>
      </c>
    </row>
    <row r="75" ht="13.5" spans="1:9">
      <c r="A75" s="12" t="s">
        <v>209</v>
      </c>
      <c r="B75" s="6">
        <v>420</v>
      </c>
      <c r="C75" s="6">
        <v>448</v>
      </c>
      <c r="D75" s="6">
        <v>499</v>
      </c>
      <c r="E75" s="11">
        <v>947</v>
      </c>
      <c r="F75" s="7">
        <v>2.2547619047619</v>
      </c>
      <c r="G75" s="8"/>
      <c r="H75" s="8"/>
      <c r="I75" s="16" t="s">
        <v>287</v>
      </c>
    </row>
    <row r="76" spans="1:9">
      <c r="A76" s="12" t="s">
        <v>210</v>
      </c>
      <c r="B76" s="6">
        <v>413</v>
      </c>
      <c r="C76" s="6">
        <v>516</v>
      </c>
      <c r="D76" s="6">
        <v>530</v>
      </c>
      <c r="E76" s="6">
        <v>1046</v>
      </c>
      <c r="F76" s="7">
        <v>2.53268765133172</v>
      </c>
      <c r="G76" s="10">
        <v>54</v>
      </c>
      <c r="H76" s="10">
        <v>43</v>
      </c>
      <c r="I76" s="16" t="s">
        <v>279</v>
      </c>
    </row>
    <row r="77" ht="13.5" spans="1:9">
      <c r="A77" s="12" t="s">
        <v>312</v>
      </c>
      <c r="B77" s="6">
        <v>395</v>
      </c>
      <c r="C77" s="6">
        <v>458</v>
      </c>
      <c r="D77" s="6">
        <v>419</v>
      </c>
      <c r="E77" s="6">
        <v>877</v>
      </c>
      <c r="F77" s="7">
        <v>2.22025316455696</v>
      </c>
      <c r="G77" s="10">
        <v>47</v>
      </c>
      <c r="H77" s="10">
        <v>28</v>
      </c>
      <c r="I77" s="8"/>
    </row>
    <row r="78" spans="1:9">
      <c r="A78" s="12" t="s">
        <v>212</v>
      </c>
      <c r="B78" s="6">
        <v>394</v>
      </c>
      <c r="C78" s="6">
        <v>420</v>
      </c>
      <c r="D78" s="6">
        <v>450</v>
      </c>
      <c r="E78" s="6">
        <v>870</v>
      </c>
      <c r="F78" s="7">
        <v>2.20812182741117</v>
      </c>
      <c r="G78" s="10">
        <v>27</v>
      </c>
      <c r="H78" s="10">
        <v>23</v>
      </c>
      <c r="I78" s="16" t="s">
        <v>300</v>
      </c>
    </row>
    <row r="79" ht="13.5" spans="1:9">
      <c r="A79" s="12" t="s">
        <v>213</v>
      </c>
      <c r="B79" s="6">
        <v>384</v>
      </c>
      <c r="C79" s="6">
        <v>449</v>
      </c>
      <c r="D79" s="6">
        <v>456</v>
      </c>
      <c r="E79" s="11">
        <v>905</v>
      </c>
      <c r="F79" s="7">
        <v>2.35677083333333</v>
      </c>
      <c r="G79" s="8"/>
      <c r="H79" s="8"/>
      <c r="I79" s="8"/>
    </row>
    <row r="80" ht="13.5" spans="1:9">
      <c r="A80" s="12" t="s">
        <v>214</v>
      </c>
      <c r="B80" s="6">
        <v>379</v>
      </c>
      <c r="C80" s="6">
        <v>426</v>
      </c>
      <c r="D80" s="6">
        <v>465</v>
      </c>
      <c r="E80" s="11">
        <v>891</v>
      </c>
      <c r="F80" s="7">
        <v>2.3509234828496</v>
      </c>
      <c r="G80" s="8"/>
      <c r="H80" s="8"/>
      <c r="I80" s="8"/>
    </row>
    <row r="81" ht="13.5" spans="1:9">
      <c r="A81" s="12" t="s">
        <v>215</v>
      </c>
      <c r="B81" s="6">
        <v>374</v>
      </c>
      <c r="C81" s="6">
        <v>416</v>
      </c>
      <c r="D81" s="6">
        <v>456</v>
      </c>
      <c r="E81" s="11">
        <v>872</v>
      </c>
      <c r="F81" s="7">
        <v>2.33155080213904</v>
      </c>
      <c r="G81" s="8"/>
      <c r="H81" s="8"/>
      <c r="I81" s="8"/>
    </row>
    <row r="82" ht="13.5" spans="1:9">
      <c r="A82" s="12" t="s">
        <v>216</v>
      </c>
      <c r="B82" s="6">
        <v>363</v>
      </c>
      <c r="C82" s="6">
        <v>377</v>
      </c>
      <c r="D82" s="6">
        <v>407</v>
      </c>
      <c r="E82" s="11">
        <v>784</v>
      </c>
      <c r="F82" s="7">
        <v>2.15977961432507</v>
      </c>
      <c r="G82" s="8"/>
      <c r="H82" s="8"/>
      <c r="I82" s="16" t="s">
        <v>293</v>
      </c>
    </row>
    <row r="83" spans="1:9">
      <c r="A83" s="12" t="s">
        <v>26</v>
      </c>
      <c r="B83" s="6">
        <v>362</v>
      </c>
      <c r="C83" s="6">
        <v>377</v>
      </c>
      <c r="D83" s="6">
        <v>371</v>
      </c>
      <c r="E83" s="6">
        <v>748</v>
      </c>
      <c r="F83" s="7">
        <v>2.06629834254144</v>
      </c>
      <c r="G83" s="10">
        <v>257</v>
      </c>
      <c r="H83" s="10">
        <v>244</v>
      </c>
      <c r="I83" s="16" t="s">
        <v>27</v>
      </c>
    </row>
    <row r="84" ht="13.5" spans="1:9">
      <c r="A84" s="12" t="s">
        <v>217</v>
      </c>
      <c r="B84" s="6">
        <v>356</v>
      </c>
      <c r="C84" s="6">
        <v>368</v>
      </c>
      <c r="D84" s="6">
        <v>369</v>
      </c>
      <c r="E84" s="6">
        <v>737</v>
      </c>
      <c r="F84" s="7">
        <v>2.07022471910112</v>
      </c>
      <c r="G84" s="10">
        <v>18</v>
      </c>
      <c r="H84" s="10">
        <v>31</v>
      </c>
      <c r="I84" s="8"/>
    </row>
    <row r="85" ht="13.5" spans="1:9">
      <c r="A85" s="12" t="s">
        <v>218</v>
      </c>
      <c r="B85" s="6">
        <v>309</v>
      </c>
      <c r="C85" s="6">
        <v>345</v>
      </c>
      <c r="D85" s="6">
        <v>356</v>
      </c>
      <c r="E85" s="6">
        <v>701</v>
      </c>
      <c r="F85" s="7">
        <v>2.26860841423948</v>
      </c>
      <c r="G85" s="8"/>
      <c r="H85" s="8"/>
      <c r="I85" s="8"/>
    </row>
    <row r="86" spans="1:9">
      <c r="A86" s="12" t="s">
        <v>219</v>
      </c>
      <c r="B86" s="6">
        <v>304</v>
      </c>
      <c r="C86" s="6">
        <v>336</v>
      </c>
      <c r="D86" s="6">
        <v>325</v>
      </c>
      <c r="E86" s="6">
        <v>661</v>
      </c>
      <c r="F86" s="7">
        <v>2.17434210526316</v>
      </c>
      <c r="G86" s="10">
        <v>14</v>
      </c>
      <c r="H86" s="10">
        <v>23</v>
      </c>
      <c r="I86" s="16" t="s">
        <v>279</v>
      </c>
    </row>
    <row r="87" ht="13.5" spans="1:9">
      <c r="A87" s="12" t="s">
        <v>220</v>
      </c>
      <c r="B87" s="6">
        <v>301</v>
      </c>
      <c r="C87" s="6">
        <v>401</v>
      </c>
      <c r="D87" s="6">
        <v>391</v>
      </c>
      <c r="E87" s="11">
        <v>792</v>
      </c>
      <c r="F87" s="7">
        <v>2.6312292358804</v>
      </c>
      <c r="G87" s="8"/>
      <c r="H87" s="8"/>
      <c r="I87" s="16" t="s">
        <v>38</v>
      </c>
    </row>
    <row r="88" ht="13.5" spans="1:9">
      <c r="A88" s="12" t="s">
        <v>221</v>
      </c>
      <c r="B88" s="6">
        <v>298</v>
      </c>
      <c r="C88" s="6">
        <v>404</v>
      </c>
      <c r="D88" s="6">
        <v>378</v>
      </c>
      <c r="E88" s="11">
        <v>782</v>
      </c>
      <c r="F88" s="7">
        <v>2.6241610738255</v>
      </c>
      <c r="G88" s="8"/>
      <c r="H88" s="8"/>
      <c r="I88" s="16" t="s">
        <v>287</v>
      </c>
    </row>
    <row r="89" ht="13.5" spans="1:9">
      <c r="A89" s="12" t="s">
        <v>222</v>
      </c>
      <c r="B89" s="6">
        <v>271</v>
      </c>
      <c r="C89" s="9">
        <v>280</v>
      </c>
      <c r="D89" s="9">
        <v>274</v>
      </c>
      <c r="E89" s="6">
        <v>554</v>
      </c>
      <c r="F89" s="7">
        <v>2.04428044280443</v>
      </c>
      <c r="G89" s="8"/>
      <c r="H89" s="8"/>
      <c r="I89" s="8"/>
    </row>
    <row r="90" ht="13.5" spans="1:9">
      <c r="A90" s="14" t="s">
        <v>223</v>
      </c>
      <c r="B90" s="6">
        <v>268</v>
      </c>
      <c r="C90" s="6">
        <v>403</v>
      </c>
      <c r="D90" s="6">
        <v>410</v>
      </c>
      <c r="E90" s="6">
        <v>813</v>
      </c>
      <c r="F90" s="7">
        <v>3.03358208955224</v>
      </c>
      <c r="G90" s="10">
        <v>95</v>
      </c>
      <c r="H90" s="10">
        <v>82</v>
      </c>
      <c r="I90" s="8"/>
    </row>
    <row r="91" ht="13.5" spans="1:9">
      <c r="A91" s="12" t="s">
        <v>224</v>
      </c>
      <c r="B91" s="6">
        <v>257</v>
      </c>
      <c r="C91" s="6">
        <v>295</v>
      </c>
      <c r="D91" s="6">
        <v>319</v>
      </c>
      <c r="E91" s="11">
        <v>614</v>
      </c>
      <c r="F91" s="7">
        <v>2.38910505836576</v>
      </c>
      <c r="G91" s="8"/>
      <c r="H91" s="8"/>
      <c r="I91" s="8"/>
    </row>
    <row r="92" ht="13.5" spans="1:9">
      <c r="A92" s="14" t="s">
        <v>225</v>
      </c>
      <c r="B92" s="6">
        <v>248</v>
      </c>
      <c r="C92" s="6">
        <v>398</v>
      </c>
      <c r="D92" s="6">
        <v>370</v>
      </c>
      <c r="E92" s="6">
        <v>768</v>
      </c>
      <c r="F92" s="7">
        <v>3.09677419354839</v>
      </c>
      <c r="G92" s="10">
        <v>77</v>
      </c>
      <c r="H92" s="10">
        <v>95</v>
      </c>
      <c r="I92" s="8"/>
    </row>
    <row r="93" ht="13.5" spans="1:9">
      <c r="A93" s="12" t="s">
        <v>226</v>
      </c>
      <c r="B93" s="6">
        <v>215</v>
      </c>
      <c r="C93" s="6">
        <v>238</v>
      </c>
      <c r="D93" s="6">
        <v>254</v>
      </c>
      <c r="E93" s="6">
        <v>492</v>
      </c>
      <c r="F93" s="7">
        <v>2.28837209302326</v>
      </c>
      <c r="G93" s="10">
        <v>81</v>
      </c>
      <c r="H93" s="10">
        <v>50</v>
      </c>
      <c r="I93" s="8"/>
    </row>
    <row r="94" spans="1:9">
      <c r="A94" s="12" t="s">
        <v>227</v>
      </c>
      <c r="B94" s="6">
        <v>209</v>
      </c>
      <c r="C94" s="6">
        <v>227</v>
      </c>
      <c r="D94" s="6">
        <v>234</v>
      </c>
      <c r="E94" s="6">
        <v>461</v>
      </c>
      <c r="F94" s="7">
        <v>2.20574162679426</v>
      </c>
      <c r="G94" s="10">
        <v>28</v>
      </c>
      <c r="H94" s="10">
        <v>22</v>
      </c>
      <c r="I94" s="16" t="s">
        <v>279</v>
      </c>
    </row>
    <row r="95" ht="13.5" spans="1:9">
      <c r="A95" s="12" t="s">
        <v>313</v>
      </c>
      <c r="B95" s="6">
        <v>200</v>
      </c>
      <c r="C95" s="6">
        <v>239</v>
      </c>
      <c r="D95" s="6">
        <v>242</v>
      </c>
      <c r="E95" s="6">
        <v>481</v>
      </c>
      <c r="F95" s="7">
        <v>2.405</v>
      </c>
      <c r="G95" s="8"/>
      <c r="H95" s="8"/>
      <c r="I95" s="8"/>
    </row>
    <row r="96" ht="13.5" spans="1:9">
      <c r="A96" s="12" t="s">
        <v>229</v>
      </c>
      <c r="B96" s="6">
        <v>183</v>
      </c>
      <c r="C96" s="6">
        <v>213</v>
      </c>
      <c r="D96" s="6">
        <v>230</v>
      </c>
      <c r="E96" s="6">
        <v>443</v>
      </c>
      <c r="F96" s="7">
        <v>2.4207650273224</v>
      </c>
      <c r="G96" s="10">
        <v>22</v>
      </c>
      <c r="H96" s="10">
        <v>29</v>
      </c>
      <c r="I96" s="8"/>
    </row>
    <row r="97" ht="13.5" spans="1:9">
      <c r="A97" s="12" t="s">
        <v>230</v>
      </c>
      <c r="B97" s="6">
        <v>179</v>
      </c>
      <c r="C97" s="6">
        <v>207</v>
      </c>
      <c r="D97" s="6">
        <v>228</v>
      </c>
      <c r="E97" s="11">
        <v>435</v>
      </c>
      <c r="F97" s="7">
        <v>2.43016759776536</v>
      </c>
      <c r="G97" s="8"/>
      <c r="H97" s="8"/>
      <c r="I97" s="16" t="s">
        <v>287</v>
      </c>
    </row>
    <row r="98" ht="13.5" spans="1:9">
      <c r="A98" s="12" t="s">
        <v>231</v>
      </c>
      <c r="B98" s="6">
        <v>178</v>
      </c>
      <c r="C98" s="6">
        <v>198</v>
      </c>
      <c r="D98" s="6">
        <v>209</v>
      </c>
      <c r="E98" s="6">
        <v>407</v>
      </c>
      <c r="F98" s="7">
        <v>2.28651685393258</v>
      </c>
      <c r="G98" s="10">
        <v>117</v>
      </c>
      <c r="H98" s="10">
        <v>125</v>
      </c>
      <c r="I98" s="8"/>
    </row>
    <row r="99" spans="1:9">
      <c r="A99" s="12" t="s">
        <v>232</v>
      </c>
      <c r="B99" s="6">
        <v>174</v>
      </c>
      <c r="C99" s="6">
        <v>164</v>
      </c>
      <c r="D99" s="6">
        <v>222</v>
      </c>
      <c r="E99" s="6">
        <v>386</v>
      </c>
      <c r="F99" s="7">
        <v>2.2183908045977</v>
      </c>
      <c r="G99" s="10">
        <v>15</v>
      </c>
      <c r="H99" s="10">
        <v>27</v>
      </c>
      <c r="I99" s="16" t="s">
        <v>279</v>
      </c>
    </row>
    <row r="100" ht="13.5" spans="1:9">
      <c r="A100" s="12" t="s">
        <v>233</v>
      </c>
      <c r="B100" s="6">
        <v>167</v>
      </c>
      <c r="C100" s="6">
        <v>203</v>
      </c>
      <c r="D100" s="6">
        <v>200</v>
      </c>
      <c r="E100" s="11">
        <v>403</v>
      </c>
      <c r="F100" s="7">
        <v>2.41317365269461</v>
      </c>
      <c r="G100" s="8"/>
      <c r="H100" s="8"/>
      <c r="I100" s="16" t="s">
        <v>288</v>
      </c>
    </row>
    <row r="101" spans="1:9">
      <c r="A101" s="12" t="s">
        <v>234</v>
      </c>
      <c r="B101" s="6">
        <v>160</v>
      </c>
      <c r="C101" s="6">
        <v>198</v>
      </c>
      <c r="D101" s="6">
        <v>200</v>
      </c>
      <c r="E101" s="6">
        <v>398</v>
      </c>
      <c r="F101" s="7">
        <v>2.4875</v>
      </c>
      <c r="G101" s="10">
        <v>17</v>
      </c>
      <c r="H101" s="10">
        <v>33</v>
      </c>
      <c r="I101" s="16" t="s">
        <v>300</v>
      </c>
    </row>
    <row r="102" spans="1:9">
      <c r="A102" s="12" t="s">
        <v>235</v>
      </c>
      <c r="B102" s="6">
        <v>151</v>
      </c>
      <c r="C102" s="6">
        <v>172</v>
      </c>
      <c r="D102" s="6">
        <v>178</v>
      </c>
      <c r="E102" s="6">
        <v>350</v>
      </c>
      <c r="F102" s="7">
        <v>2.31788079470199</v>
      </c>
      <c r="G102" s="10">
        <v>21</v>
      </c>
      <c r="H102" s="10">
        <v>12</v>
      </c>
      <c r="I102" s="16" t="s">
        <v>279</v>
      </c>
    </row>
    <row r="103" spans="1:9">
      <c r="A103" s="12" t="s">
        <v>236</v>
      </c>
      <c r="B103" s="6">
        <v>140</v>
      </c>
      <c r="C103" s="6">
        <v>161</v>
      </c>
      <c r="D103" s="6">
        <v>194</v>
      </c>
      <c r="E103" s="6">
        <v>355</v>
      </c>
      <c r="F103" s="7">
        <v>2.53571428571429</v>
      </c>
      <c r="G103" s="10">
        <v>12</v>
      </c>
      <c r="H103" s="10">
        <v>14</v>
      </c>
      <c r="I103" s="16" t="s">
        <v>279</v>
      </c>
    </row>
    <row r="104" spans="1:9">
      <c r="A104" s="12" t="s">
        <v>237</v>
      </c>
      <c r="B104" s="6">
        <v>139</v>
      </c>
      <c r="C104" s="6">
        <v>165</v>
      </c>
      <c r="D104" s="6">
        <v>156</v>
      </c>
      <c r="E104" s="6">
        <v>321</v>
      </c>
      <c r="F104" s="7">
        <v>2.30935251798561</v>
      </c>
      <c r="G104" s="10">
        <v>12</v>
      </c>
      <c r="H104" s="10">
        <v>16</v>
      </c>
      <c r="I104" s="16" t="s">
        <v>279</v>
      </c>
    </row>
    <row r="105" spans="1:9">
      <c r="A105" s="12" t="s">
        <v>238</v>
      </c>
      <c r="B105" s="6">
        <v>133</v>
      </c>
      <c r="C105" s="6">
        <v>149</v>
      </c>
      <c r="D105" s="6">
        <v>172</v>
      </c>
      <c r="E105" s="6">
        <v>321</v>
      </c>
      <c r="F105" s="7">
        <v>2.41353383458647</v>
      </c>
      <c r="G105" s="10">
        <v>17</v>
      </c>
      <c r="H105" s="10">
        <v>14</v>
      </c>
      <c r="I105" s="16" t="s">
        <v>279</v>
      </c>
    </row>
    <row r="106" ht="13.5" spans="1:9">
      <c r="A106" s="14" t="s">
        <v>239</v>
      </c>
      <c r="B106" s="6">
        <v>129</v>
      </c>
      <c r="C106" s="6">
        <v>183</v>
      </c>
      <c r="D106" s="6">
        <v>176</v>
      </c>
      <c r="E106" s="6">
        <v>359</v>
      </c>
      <c r="F106" s="7">
        <v>2.78294573643411</v>
      </c>
      <c r="G106" s="10">
        <v>31</v>
      </c>
      <c r="H106" s="10">
        <v>17</v>
      </c>
      <c r="I106" s="8"/>
    </row>
    <row r="107" spans="1:9">
      <c r="A107" s="12" t="s">
        <v>240</v>
      </c>
      <c r="B107" s="6">
        <v>125</v>
      </c>
      <c r="C107" s="6">
        <v>116</v>
      </c>
      <c r="D107" s="6">
        <v>137</v>
      </c>
      <c r="E107" s="6">
        <v>253</v>
      </c>
      <c r="F107" s="7">
        <v>2.024</v>
      </c>
      <c r="G107" s="10">
        <v>5</v>
      </c>
      <c r="H107" s="10">
        <v>10</v>
      </c>
      <c r="I107" s="16" t="s">
        <v>279</v>
      </c>
    </row>
    <row r="108" ht="13.5" spans="1:9">
      <c r="A108" s="12" t="s">
        <v>241</v>
      </c>
      <c r="B108" s="6">
        <v>117</v>
      </c>
      <c r="C108" s="6">
        <v>16</v>
      </c>
      <c r="D108" s="6">
        <v>104</v>
      </c>
      <c r="E108" s="11">
        <v>120</v>
      </c>
      <c r="F108" s="7">
        <v>1.02564102564103</v>
      </c>
      <c r="G108" s="8"/>
      <c r="H108" s="8"/>
      <c r="I108" s="8"/>
    </row>
    <row r="109" ht="13.5" spans="1:9">
      <c r="A109" s="12" t="s">
        <v>242</v>
      </c>
      <c r="B109" s="6">
        <v>116</v>
      </c>
      <c r="C109" s="6">
        <v>106</v>
      </c>
      <c r="D109" s="6">
        <v>127</v>
      </c>
      <c r="E109" s="11">
        <v>233</v>
      </c>
      <c r="F109" s="7">
        <v>2.00862068965517</v>
      </c>
      <c r="G109" s="8"/>
      <c r="H109" s="8"/>
      <c r="I109" s="8"/>
    </row>
    <row r="110" ht="13.5" spans="1:9">
      <c r="A110" s="12" t="s">
        <v>243</v>
      </c>
      <c r="B110" s="6">
        <v>113</v>
      </c>
      <c r="C110" s="6">
        <v>150</v>
      </c>
      <c r="D110" s="6">
        <v>148</v>
      </c>
      <c r="E110" s="6">
        <v>298</v>
      </c>
      <c r="F110" s="7">
        <v>2.63716814159292</v>
      </c>
      <c r="G110" s="8"/>
      <c r="H110" s="8"/>
      <c r="I110" s="8"/>
    </row>
    <row r="111" ht="13.5" spans="1:9">
      <c r="A111" s="12" t="s">
        <v>314</v>
      </c>
      <c r="B111" s="6">
        <v>100</v>
      </c>
      <c r="C111" s="6">
        <v>130</v>
      </c>
      <c r="D111" s="6">
        <v>119</v>
      </c>
      <c r="E111" s="11">
        <v>249</v>
      </c>
      <c r="F111" s="7">
        <v>2.49</v>
      </c>
      <c r="G111" s="8"/>
      <c r="H111" s="8"/>
      <c r="I111" s="8"/>
    </row>
    <row r="112" ht="13.5" spans="1:9">
      <c r="A112" s="12" t="s">
        <v>315</v>
      </c>
      <c r="B112" s="6">
        <v>99</v>
      </c>
      <c r="C112" s="6">
        <v>139</v>
      </c>
      <c r="D112" s="6">
        <v>120</v>
      </c>
      <c r="E112" s="6">
        <v>259</v>
      </c>
      <c r="F112" s="7">
        <v>2.61616161616162</v>
      </c>
      <c r="G112" s="8"/>
      <c r="H112" s="8"/>
      <c r="I112" s="8"/>
    </row>
    <row r="113" ht="13.5" spans="1:9">
      <c r="A113" s="12" t="s">
        <v>316</v>
      </c>
      <c r="B113" s="6">
        <v>96</v>
      </c>
      <c r="C113" s="6">
        <v>106</v>
      </c>
      <c r="D113" s="6">
        <v>118</v>
      </c>
      <c r="E113" s="6">
        <v>224</v>
      </c>
      <c r="F113" s="7">
        <v>2.33333333333333</v>
      </c>
      <c r="G113" s="8"/>
      <c r="H113" s="8"/>
      <c r="I113" s="8"/>
    </row>
    <row r="114" ht="13.5" spans="1:9">
      <c r="A114" s="12" t="s">
        <v>317</v>
      </c>
      <c r="B114" s="6">
        <v>83</v>
      </c>
      <c r="C114" s="6">
        <v>114</v>
      </c>
      <c r="D114" s="6">
        <v>115</v>
      </c>
      <c r="E114" s="6">
        <v>229</v>
      </c>
      <c r="F114" s="7">
        <v>2.75903614457831</v>
      </c>
      <c r="G114" s="10">
        <v>32</v>
      </c>
      <c r="H114" s="10">
        <v>8</v>
      </c>
      <c r="I114" s="8"/>
    </row>
    <row r="115" ht="13.5" spans="1:9">
      <c r="A115" s="12" t="s">
        <v>318</v>
      </c>
      <c r="B115" s="6">
        <v>79</v>
      </c>
      <c r="C115" s="6">
        <v>75</v>
      </c>
      <c r="D115" s="6">
        <v>82</v>
      </c>
      <c r="E115" s="11">
        <v>157</v>
      </c>
      <c r="F115" s="7">
        <v>1.9873417721519</v>
      </c>
      <c r="G115" s="8"/>
      <c r="H115" s="8"/>
      <c r="I115" s="8"/>
    </row>
    <row r="116" ht="13.5" spans="1:9">
      <c r="A116" s="12" t="s">
        <v>249</v>
      </c>
      <c r="B116" s="6">
        <v>70</v>
      </c>
      <c r="C116" s="6">
        <v>89</v>
      </c>
      <c r="D116" s="6">
        <v>100</v>
      </c>
      <c r="E116" s="11">
        <v>189</v>
      </c>
      <c r="F116" s="7">
        <v>2.7</v>
      </c>
      <c r="G116" s="8"/>
      <c r="H116" s="8"/>
      <c r="I116" s="8"/>
    </row>
    <row r="117" ht="13.5" spans="1:9">
      <c r="A117" s="12" t="s">
        <v>319</v>
      </c>
      <c r="B117" s="6">
        <v>64</v>
      </c>
      <c r="C117" s="6">
        <v>82</v>
      </c>
      <c r="D117" s="6">
        <v>83</v>
      </c>
      <c r="E117" s="6">
        <v>165</v>
      </c>
      <c r="F117" s="7">
        <v>2.578125</v>
      </c>
      <c r="G117" s="8"/>
      <c r="H117" s="8"/>
      <c r="I117" s="8"/>
    </row>
    <row r="118" ht="13.5" spans="1:9">
      <c r="A118" s="12" t="s">
        <v>251</v>
      </c>
      <c r="B118" s="6">
        <v>63</v>
      </c>
      <c r="C118" s="6">
        <v>90</v>
      </c>
      <c r="D118" s="6">
        <v>71</v>
      </c>
      <c r="E118" s="11">
        <v>161</v>
      </c>
      <c r="F118" s="7">
        <v>2.55555555555556</v>
      </c>
      <c r="G118" s="8"/>
      <c r="H118" s="8"/>
      <c r="I118" s="8"/>
    </row>
    <row r="119" ht="13.5" spans="1:9">
      <c r="A119" s="12" t="s">
        <v>320</v>
      </c>
      <c r="B119" s="6">
        <v>54</v>
      </c>
      <c r="C119" s="6">
        <v>65</v>
      </c>
      <c r="D119" s="6">
        <v>53</v>
      </c>
      <c r="E119" s="6">
        <v>118</v>
      </c>
      <c r="F119" s="7">
        <v>2.18518518518518</v>
      </c>
      <c r="G119" s="10">
        <v>0</v>
      </c>
      <c r="H119" s="10">
        <v>0</v>
      </c>
      <c r="I119" s="8"/>
    </row>
    <row r="120" ht="13.5" spans="1:9">
      <c r="A120" s="12" t="s">
        <v>253</v>
      </c>
      <c r="B120" s="6">
        <v>46</v>
      </c>
      <c r="C120" s="6">
        <v>58</v>
      </c>
      <c r="D120" s="6">
        <v>61</v>
      </c>
      <c r="E120" s="11">
        <v>119</v>
      </c>
      <c r="F120" s="7">
        <v>2.58695652173913</v>
      </c>
      <c r="G120" s="8"/>
      <c r="H120" s="8"/>
      <c r="I120" s="8"/>
    </row>
    <row r="121" ht="13.5" spans="1:9">
      <c r="A121" s="12" t="s">
        <v>254</v>
      </c>
      <c r="B121" s="6">
        <v>41</v>
      </c>
      <c r="C121" s="6">
        <v>52</v>
      </c>
      <c r="D121" s="6">
        <v>51</v>
      </c>
      <c r="E121" s="11">
        <v>103</v>
      </c>
      <c r="F121" s="7">
        <v>2.51219512195122</v>
      </c>
      <c r="G121" s="8"/>
      <c r="H121" s="8"/>
      <c r="I121" s="8"/>
    </row>
    <row r="122" ht="13.5" spans="1:9">
      <c r="A122" s="12" t="s">
        <v>321</v>
      </c>
      <c r="B122" s="6">
        <v>37</v>
      </c>
      <c r="C122" s="6">
        <v>42</v>
      </c>
      <c r="D122" s="6">
        <v>49</v>
      </c>
      <c r="E122" s="11">
        <v>91</v>
      </c>
      <c r="F122" s="7">
        <v>2.45945945945946</v>
      </c>
      <c r="G122" s="8"/>
      <c r="H122" s="8"/>
      <c r="I122" s="8"/>
    </row>
    <row r="123" ht="13.5" spans="1:9">
      <c r="A123" s="12" t="s">
        <v>322</v>
      </c>
      <c r="B123" s="6">
        <v>31</v>
      </c>
      <c r="C123" s="6">
        <v>30</v>
      </c>
      <c r="D123" s="6">
        <v>43</v>
      </c>
      <c r="E123" s="6">
        <v>73</v>
      </c>
      <c r="F123" s="7">
        <v>2.35483870967742</v>
      </c>
      <c r="G123"/>
      <c r="H123"/>
      <c r="I123"/>
    </row>
    <row r="124" ht="13.5" spans="1:9">
      <c r="A124" s="12" t="s">
        <v>257</v>
      </c>
      <c r="B124" s="6">
        <v>30</v>
      </c>
      <c r="C124" s="6">
        <v>35</v>
      </c>
      <c r="D124" s="6">
        <v>36</v>
      </c>
      <c r="E124" s="6">
        <v>71</v>
      </c>
      <c r="F124" s="7">
        <v>2.36666666666667</v>
      </c>
      <c r="G124"/>
      <c r="H124"/>
      <c r="I124"/>
    </row>
    <row r="125" ht="13.5" spans="1:9">
      <c r="A125" s="12" t="s">
        <v>258</v>
      </c>
      <c r="B125" s="6">
        <v>19</v>
      </c>
      <c r="C125" s="6">
        <v>20</v>
      </c>
      <c r="D125" s="6">
        <v>21</v>
      </c>
      <c r="E125" s="6">
        <v>41</v>
      </c>
      <c r="F125" s="7">
        <v>2.15789473684211</v>
      </c>
      <c r="G125"/>
      <c r="H125"/>
      <c r="I125"/>
    </row>
    <row r="126" ht="13.5" spans="1:9">
      <c r="A126" s="12" t="s">
        <v>259</v>
      </c>
      <c r="B126" s="6">
        <v>9</v>
      </c>
      <c r="C126" s="6">
        <v>10</v>
      </c>
      <c r="D126" s="6">
        <v>9</v>
      </c>
      <c r="E126" s="6">
        <v>19</v>
      </c>
      <c r="F126" s="7">
        <v>2.11111111111111</v>
      </c>
      <c r="G126"/>
      <c r="H126"/>
      <c r="I126"/>
    </row>
    <row r="127" ht="13.5" spans="1:9">
      <c r="A127" s="12" t="s">
        <v>260</v>
      </c>
      <c r="B127" s="6">
        <v>6</v>
      </c>
      <c r="C127" s="6">
        <v>6</v>
      </c>
      <c r="D127" s="6">
        <v>6</v>
      </c>
      <c r="E127" s="6">
        <v>12</v>
      </c>
      <c r="F127" s="7">
        <v>2</v>
      </c>
      <c r="G127"/>
      <c r="H127"/>
      <c r="I127"/>
    </row>
  </sheetData>
  <pageMargins left="0.75" right="0.75" top="1" bottom="1" header="0.5" footer="0.5"/>
  <headerFooter/>
  <drawing r:id="rId1"/>
  <legacyDrawing r:id="rId2"/>
  <controls>
    <mc:AlternateContent xmlns:mc="http://schemas.openxmlformats.org/markup-compatibility/2006">
      <mc:Choice Requires="x14">
        <control shapeId="1026" r:id="rId3" name="CommandButton1">
          <controlPr defaultSize="0" r:id="rId4">
            <anchor moveWithCells="1">
              <from>
                <xdr:col>4</xdr:col>
                <xdr:colOff>19050</xdr:colOff>
                <xdr:row>0</xdr:row>
                <xdr:rowOff>142875</xdr:rowOff>
              </from>
              <to>
                <xdr:col>5</xdr:col>
                <xdr:colOff>276860</xdr:colOff>
                <xdr:row>2</xdr:row>
                <xdr:rowOff>152400</xdr:rowOff>
              </to>
            </anchor>
          </controlPr>
        </control>
      </mc:Choice>
      <mc:Fallback>
        <control shapeId="1026" r:id="rId3" name="CommandButton1"/>
      </mc:Fallback>
    </mc:AlternateContent>
    <mc:AlternateContent xmlns:mc="http://schemas.openxmlformats.org/markup-compatibility/2006">
      <mc:Choice Requires="x14">
        <control shapeId="1027" r:id="rId5" name="Label1">
          <controlPr defaultSize="0" r:id="rId6">
            <anchor moveWithCells="1">
              <from>
                <xdr:col>0</xdr:col>
                <xdr:colOff>257175</xdr:colOff>
                <xdr:row>1</xdr:row>
                <xdr:rowOff>28575</xdr:rowOff>
              </from>
              <to>
                <xdr:col>3</xdr:col>
                <xdr:colOff>142875</xdr:colOff>
                <xdr:row>2</xdr:row>
                <xdr:rowOff>105410</xdr:rowOff>
              </to>
            </anchor>
          </controlPr>
        </control>
      </mc:Choice>
      <mc:Fallback>
        <control shapeId="1027" r:id="rId5" name="Label1"/>
      </mc:Fallback>
    </mc:AlternateContent>
    <mc:AlternateContent xmlns:mc="http://schemas.openxmlformats.org/markup-compatibility/2006">
      <mc:Choice Requires="x14">
        <control shapeId="1030" r:id="rId7" name="CommandButton2">
          <controlPr defaultSize="0" r:id="rId8">
            <anchor moveWithCells="1">
              <from>
                <xdr:col>6</xdr:col>
                <xdr:colOff>0</xdr:colOff>
                <xdr:row>0</xdr:row>
                <xdr:rowOff>142875</xdr:rowOff>
              </from>
              <to>
                <xdr:col>7</xdr:col>
                <xdr:colOff>305435</xdr:colOff>
                <xdr:row>2</xdr:row>
                <xdr:rowOff>152400</xdr:rowOff>
              </to>
            </anchor>
          </controlPr>
        </control>
      </mc:Choice>
      <mc:Fallback>
        <control shapeId="1030" r:id="rId7" name="CommandButton2"/>
      </mc:Fallback>
    </mc:AlternateContent>
  </controls>
</worksheet>
</file>

<file path=docProps/app.xml><?xml version="1.0" encoding="utf-8"?>
<Properties xmlns="http://schemas.openxmlformats.org/officeDocument/2006/extended-properties" xmlns:vt="http://schemas.openxmlformats.org/officeDocument/2006/docPropsVTypes">
  <Company>株式会社ウラタソフト</Company>
  <Application>Microsoft Excel</Application>
  <HeadingPairs>
    <vt:vector size="2" baseType="variant">
      <vt:variant>
        <vt:lpstr>工作表</vt:lpstr>
      </vt:variant>
      <vt:variant>
        <vt:i4>5</vt:i4>
      </vt:variant>
    </vt:vector>
  </HeadingPairs>
  <TitlesOfParts>
    <vt:vector size="5" baseType="lpstr">
      <vt:lpstr>取扱い説明</vt:lpstr>
      <vt:lpstr>字別人口・世帯</vt:lpstr>
      <vt:lpstr>字別・年齢別人口</vt:lpstr>
      <vt:lpstr>投票別選挙人数</vt:lpstr>
      <vt:lpstr>分析結果</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浦田哲夫</dc:creator>
  <cp:lastModifiedBy>哲夫</cp:lastModifiedBy>
  <dcterms:created xsi:type="dcterms:W3CDTF">2013-04-09T09:35:00Z</dcterms:created>
  <dcterms:modified xsi:type="dcterms:W3CDTF">2019-10-05T06:28:41Z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1041-10.8.2.6694</vt:lpwstr>
  </property>
</Properties>
</file>